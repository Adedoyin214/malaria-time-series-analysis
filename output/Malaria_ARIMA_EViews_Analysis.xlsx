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_Data &amp; Descriptive Stats" sheetId="2" state="visible" r:id="rId2"/>
    <sheet xmlns:r="http://schemas.openxmlformats.org/officeDocument/2006/relationships" name="2_Unit Root Tests" sheetId="3" state="visible" r:id="rId3"/>
    <sheet xmlns:r="http://schemas.openxmlformats.org/officeDocument/2006/relationships" name="3_Correlogram" sheetId="4" state="visible" r:id="rId4"/>
    <sheet xmlns:r="http://schemas.openxmlformats.org/officeDocument/2006/relationships" name="4_Model Selection" sheetId="5" state="visible" r:id="rId5"/>
    <sheet xmlns:r="http://schemas.openxmlformats.org/officeDocument/2006/relationships" name="5_ARIMA Estimation" sheetId="6" state="visible" r:id="rId6"/>
    <sheet xmlns:r="http://schemas.openxmlformats.org/officeDocument/2006/relationships" name="6_Diagnostics" sheetId="7" state="visible" r:id="rId7"/>
    <sheet xmlns:r="http://schemas.openxmlformats.org/officeDocument/2006/relationships" name="7_Foreca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2"/>
    </font>
    <font>
      <name val="Calibri"/>
      <b val="1"/>
      <color rgb="001F3864"/>
      <sz val="13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F3864"/>
      <sz val="10"/>
    </font>
    <font>
      <name val="Calibri"/>
      <b val="1"/>
      <sz val="10"/>
    </font>
    <font>
      <name val="Calibri"/>
      <sz val="10"/>
    </font>
    <font>
      <name val="Calibri"/>
      <i val="1"/>
      <color rgb="00666666"/>
      <sz val="9"/>
    </font>
    <font>
      <name val="Calibri"/>
      <sz val="9"/>
    </font>
    <font>
      <name val="Courier New"/>
      <color rgb="002E75B6"/>
      <sz val="8"/>
    </font>
    <font>
      <name val="Calibri"/>
      <b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right"/>
    </xf>
    <xf numFmtId="0" fontId="5" fillId="4" borderId="0" applyAlignment="1" pivotButton="0" quotePrefix="0" xfId="0">
      <alignment horizontal="left"/>
    </xf>
    <xf numFmtId="0" fontId="6" fillId="2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7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indent="1"/>
    </xf>
    <xf numFmtId="0" fontId="9" fillId="4" borderId="0" pivotButton="0" quotePrefix="0" xfId="0"/>
    <xf numFmtId="0" fontId="10" fillId="4" borderId="0" pivotButton="0" quotePrefix="0" xfId="0"/>
    <xf numFmtId="0" fontId="11" fillId="4" borderId="0" pivotButton="0" quotePrefix="0" xfId="0"/>
    <xf numFmtId="0" fontId="12" fillId="0" borderId="0" pivotButton="0" quotePrefix="0" xfId="0"/>
    <xf numFmtId="0" fontId="10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left" vertical="center"/>
    </xf>
    <xf numFmtId="0" fontId="14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/>
    </xf>
    <xf numFmtId="0" fontId="14" fillId="7" borderId="0" applyAlignment="1" pivotButton="0" quotePrefix="0" xfId="0">
      <alignment horizontal="lef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Malaria Deaths: Actual vs Fitted vs Forecast — ARIMA(0,1,2)</a:t>
            </a:r>
          </a:p>
        </rich>
      </tx>
    </title>
    <plotArea>
      <lineChart>
        <grouping val="standard"/>
        <ser>
          <idx val="0"/>
          <order val="0"/>
          <tx>
            <strRef>
              <f>'7_Forecast'!B17</f>
            </strRef>
          </tx>
          <spPr>
            <a:ln xmlns:a="http://schemas.openxmlformats.org/drawingml/2006/main" w="20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'7_Forecast'!$B$18:$B$42</f>
            </numRef>
          </val>
        </ser>
        <ser>
          <idx val="1"/>
          <order val="1"/>
          <tx>
            <strRef>
              <f>'7_Forecast'!C17</f>
            </strRef>
          </tx>
          <spPr>
            <a:ln xmlns:a="http://schemas.openxmlformats.org/drawingml/2006/main" w="1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'7_Forecast'!$C$18:$C$42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Deaths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18" customHeight="1">
      <c r="A1" s="1" t="n"/>
    </row>
    <row r="2" ht="18" customHeight="1">
      <c r="A2" s="1" t="n"/>
    </row>
    <row r="3" ht="18" customHeight="1">
      <c r="A3" s="1" t="n"/>
    </row>
    <row r="4" ht="18" customHeight="1">
      <c r="A4" s="2" t="inlineStr">
        <is>
          <t>TIME SERIES ANALYSIS OF MALARIA DEATHS</t>
        </is>
      </c>
    </row>
    <row r="5" ht="18" customHeight="1"/>
    <row r="6" ht="18" customHeight="1"/>
    <row r="7" ht="18" customHeight="1">
      <c r="A7" s="3" t="inlineStr">
        <is>
          <t>General Hospital Toro, Bauchi State | 2000–2024 | Box-Jenkins ARIMA Methodology</t>
        </is>
      </c>
    </row>
    <row r="8" ht="18" customHeight="1"/>
    <row r="10" ht="22" customHeight="1">
      <c r="A10" s="4" t="inlineStr">
        <is>
          <t>EViews-Style Statistical Output — ARIMA(0,1,2)</t>
        </is>
      </c>
    </row>
    <row r="11"/>
    <row r="12" ht="16" customHeight="1"/>
    <row r="13" ht="16" customHeight="1">
      <c r="B13" s="5" t="inlineStr">
        <is>
          <t>Observations:</t>
        </is>
      </c>
      <c r="D13" s="6" t="inlineStr">
        <is>
          <t>25 annual (2000–2024)</t>
        </is>
      </c>
    </row>
    <row r="14" ht="16" customHeight="1"/>
    <row r="15" ht="16" customHeight="1">
      <c r="B15" s="5" t="inlineStr">
        <is>
          <t>Variable:</t>
        </is>
      </c>
      <c r="D15" s="6" t="inlineStr">
        <is>
          <t>Total Malaria Deaths — General Hospital Toro</t>
        </is>
      </c>
    </row>
    <row r="16" ht="16" customHeight="1"/>
    <row r="17" ht="16" customHeight="1">
      <c r="B17" s="5" t="inlineStr">
        <is>
          <t>Source:</t>
        </is>
      </c>
      <c r="D17" s="6" t="inlineStr">
        <is>
          <t>General Hospital Toro, Bauchi State, Nigeria</t>
        </is>
      </c>
    </row>
    <row r="18" ht="16" customHeight="1"/>
    <row r="19" ht="16" customHeight="1">
      <c r="B19" s="5" t="inlineStr">
        <is>
          <t>Method:</t>
        </is>
      </c>
      <c r="D19" s="6" t="inlineStr">
        <is>
          <t>Box-Jenkins ARIMA (ADF &amp; PP Unit Root Tests)</t>
        </is>
      </c>
    </row>
    <row r="20" ht="16" customHeight="1"/>
    <row r="21" ht="16" customHeight="1">
      <c r="B21" s="5" t="inlineStr">
        <is>
          <t>Best Model:</t>
        </is>
      </c>
      <c r="D21" s="6" t="inlineStr">
        <is>
          <t>ARIMA(0,1,2) — minimum AIC &amp; BIC</t>
        </is>
      </c>
    </row>
    <row r="22" ht="16" customHeight="1"/>
    <row r="23" ht="16" customHeight="1">
      <c r="B23" s="5" t="inlineStr">
        <is>
          <t>Forecast:</t>
        </is>
      </c>
      <c r="D23" s="6" t="inlineStr">
        <is>
          <t>2025–2029 (5 years ahead)</t>
        </is>
      </c>
    </row>
    <row r="24" ht="16" customHeight="1"/>
    <row r="25" ht="16" customHeight="1">
      <c r="B25" s="5" t="inlineStr">
        <is>
          <t>Significance:</t>
        </is>
      </c>
      <c r="D25" s="6" t="inlineStr">
        <is>
          <t>5% level (α = 0.05)</t>
        </is>
      </c>
    </row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</sheetData>
  <mergeCells count="24">
    <mergeCell ref="B25:C25"/>
    <mergeCell ref="D25:G25"/>
    <mergeCell ref="D15:G15"/>
    <mergeCell ref="A1:H1"/>
    <mergeCell ref="A6:H6"/>
    <mergeCell ref="D23:G23"/>
    <mergeCell ref="B21:C21"/>
    <mergeCell ref="A7:H7"/>
    <mergeCell ref="B23:C23"/>
    <mergeCell ref="A10:H11"/>
    <mergeCell ref="D19:G19"/>
    <mergeCell ref="B17:C17"/>
    <mergeCell ref="B13:C13"/>
    <mergeCell ref="A3:H3"/>
    <mergeCell ref="B19:C19"/>
    <mergeCell ref="A2:H2"/>
    <mergeCell ref="D21:G21"/>
    <mergeCell ref="D13:G13"/>
    <mergeCell ref="A5:H5"/>
    <mergeCell ref="A4:H4"/>
    <mergeCell ref="D17:G17"/>
    <mergeCell ref="B15:C15"/>
    <mergeCell ref="A7:H8"/>
    <mergeCell ref="A4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7" t="inlineStr">
        <is>
          <t xml:space="preserve">  DATA — MALARIA DEATHS: GENERAL HOSPITAL TORO, BAUCHI STATE (2000–2024)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</row>
    <row r="3" ht="16" customHeight="1">
      <c r="A3" s="9" t="inlineStr">
        <is>
          <t>Year</t>
        </is>
      </c>
      <c r="B3" s="9" t="inlineStr">
        <is>
          <t>Malaria Deaths</t>
        </is>
      </c>
      <c r="C3" s="9" t="inlineStr">
        <is>
          <t>1st Difference</t>
        </is>
      </c>
      <c r="D3" s="9" t="inlineStr"/>
      <c r="E3" s="9" t="inlineStr">
        <is>
          <t>Year</t>
        </is>
      </c>
      <c r="F3" s="9" t="inlineStr">
        <is>
          <t>Malaria Deaths</t>
        </is>
      </c>
      <c r="G3" s="9" t="inlineStr">
        <is>
          <t>1st Difference</t>
        </is>
      </c>
      <c r="H3" s="9" t="inlineStr"/>
    </row>
    <row r="4">
      <c r="A4" s="10" t="n">
        <v>2000</v>
      </c>
      <c r="B4" s="10" t="n">
        <v>44</v>
      </c>
      <c r="C4" s="11" t="inlineStr">
        <is>
          <t>—</t>
        </is>
      </c>
      <c r="E4" s="12" t="n">
        <v>2013</v>
      </c>
      <c r="F4" s="12" t="n">
        <v>56</v>
      </c>
      <c r="G4" s="13" t="n">
        <v>20</v>
      </c>
    </row>
    <row r="5">
      <c r="A5" s="12" t="n">
        <v>2001</v>
      </c>
      <c r="B5" s="12" t="n">
        <v>40</v>
      </c>
      <c r="C5" s="13" t="n">
        <v>-4</v>
      </c>
      <c r="E5" s="10" t="n">
        <v>2014</v>
      </c>
      <c r="F5" s="10" t="n">
        <v>41</v>
      </c>
      <c r="G5" s="14" t="n">
        <v>-15</v>
      </c>
    </row>
    <row r="6">
      <c r="A6" s="10" t="n">
        <v>2002</v>
      </c>
      <c r="B6" s="10" t="n">
        <v>44</v>
      </c>
      <c r="C6" s="14" t="n">
        <v>4</v>
      </c>
      <c r="E6" s="12" t="n">
        <v>2015</v>
      </c>
      <c r="F6" s="12" t="n">
        <v>65</v>
      </c>
      <c r="G6" s="13" t="n">
        <v>24</v>
      </c>
    </row>
    <row r="7">
      <c r="A7" s="12" t="n">
        <v>2003</v>
      </c>
      <c r="B7" s="12" t="n">
        <v>55</v>
      </c>
      <c r="C7" s="13" t="n">
        <v>11</v>
      </c>
      <c r="E7" s="10" t="n">
        <v>2016</v>
      </c>
      <c r="F7" s="10" t="n">
        <v>52</v>
      </c>
      <c r="G7" s="14" t="n">
        <v>-13</v>
      </c>
    </row>
    <row r="8">
      <c r="A8" s="10" t="n">
        <v>2004</v>
      </c>
      <c r="B8" s="10" t="n">
        <v>36</v>
      </c>
      <c r="C8" s="14" t="n">
        <v>-19</v>
      </c>
      <c r="E8" s="12" t="n">
        <v>2017</v>
      </c>
      <c r="F8" s="12" t="n">
        <v>41</v>
      </c>
      <c r="G8" s="13" t="n">
        <v>-11</v>
      </c>
    </row>
    <row r="9">
      <c r="A9" s="12" t="n">
        <v>2005</v>
      </c>
      <c r="B9" s="12" t="n">
        <v>51</v>
      </c>
      <c r="C9" s="13" t="n">
        <v>15</v>
      </c>
      <c r="E9" s="10" t="n">
        <v>2018</v>
      </c>
      <c r="F9" s="10" t="n">
        <v>62</v>
      </c>
      <c r="G9" s="14" t="n">
        <v>21</v>
      </c>
    </row>
    <row r="10">
      <c r="A10" s="10" t="n">
        <v>2006</v>
      </c>
      <c r="B10" s="10" t="n">
        <v>43</v>
      </c>
      <c r="C10" s="14" t="n">
        <v>-8</v>
      </c>
      <c r="E10" s="12" t="n">
        <v>2019</v>
      </c>
      <c r="F10" s="12" t="n">
        <v>68</v>
      </c>
      <c r="G10" s="13" t="n">
        <v>6</v>
      </c>
    </row>
    <row r="11">
      <c r="A11" s="12" t="n">
        <v>2007</v>
      </c>
      <c r="B11" s="12" t="n">
        <v>54</v>
      </c>
      <c r="C11" s="13" t="n">
        <v>11</v>
      </c>
      <c r="E11" s="10" t="n">
        <v>2020</v>
      </c>
      <c r="F11" s="10" t="n">
        <v>39</v>
      </c>
      <c r="G11" s="14" t="n">
        <v>-29</v>
      </c>
    </row>
    <row r="12">
      <c r="A12" s="10" t="n">
        <v>2008</v>
      </c>
      <c r="B12" s="10" t="n">
        <v>37</v>
      </c>
      <c r="C12" s="14" t="n">
        <v>-17</v>
      </c>
      <c r="E12" s="12" t="n">
        <v>2021</v>
      </c>
      <c r="F12" s="12" t="n">
        <v>56</v>
      </c>
      <c r="G12" s="13" t="n">
        <v>17</v>
      </c>
    </row>
    <row r="13">
      <c r="A13" s="12" t="n">
        <v>2009</v>
      </c>
      <c r="B13" s="12" t="n">
        <v>36</v>
      </c>
      <c r="C13" s="13" t="n">
        <v>-1</v>
      </c>
      <c r="E13" s="10" t="n">
        <v>2022</v>
      </c>
      <c r="F13" s="10" t="n">
        <v>52</v>
      </c>
      <c r="G13" s="14" t="n">
        <v>-4</v>
      </c>
    </row>
    <row r="14">
      <c r="A14" s="10" t="n">
        <v>2010</v>
      </c>
      <c r="B14" s="10" t="n">
        <v>53</v>
      </c>
      <c r="C14" s="14" t="n">
        <v>17</v>
      </c>
      <c r="E14" s="12" t="n">
        <v>2023</v>
      </c>
      <c r="F14" s="12" t="n">
        <v>55</v>
      </c>
      <c r="G14" s="13" t="n">
        <v>3</v>
      </c>
    </row>
    <row r="15">
      <c r="A15" s="12" t="n">
        <v>2011</v>
      </c>
      <c r="B15" s="12" t="n">
        <v>51</v>
      </c>
      <c r="C15" s="13" t="n">
        <v>-2</v>
      </c>
      <c r="E15" s="10" t="n">
        <v>2024</v>
      </c>
      <c r="F15" s="10" t="n">
        <v>57</v>
      </c>
      <c r="G15" s="14" t="n">
        <v>2</v>
      </c>
    </row>
    <row r="16">
      <c r="A16" s="10" t="n">
        <v>2012</v>
      </c>
      <c r="B16" s="10" t="n">
        <v>36</v>
      </c>
      <c r="C16" s="14" t="n">
        <v>-15</v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 ht="18" customHeight="1">
      <c r="A18" s="7" t="inlineStr">
        <is>
          <t xml:space="preserve">  DESCRIPTIVE STATISTICS — EViews Format</t>
        </is>
      </c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 ht="16" customHeight="1">
      <c r="A20" s="9" t="inlineStr">
        <is>
          <t>Statistic</t>
        </is>
      </c>
      <c r="B20" s="9" t="inlineStr">
        <is>
          <t>Value</t>
        </is>
      </c>
      <c r="C20" s="9" t="inlineStr"/>
      <c r="D20" s="9" t="inlineStr">
        <is>
          <t>Statistic</t>
        </is>
      </c>
      <c r="E20" s="9" t="inlineStr">
        <is>
          <t>Value</t>
        </is>
      </c>
      <c r="F20" s="9" t="inlineStr"/>
      <c r="G20" s="9" t="inlineStr"/>
      <c r="H20" s="9" t="inlineStr"/>
    </row>
    <row r="21">
      <c r="A21" s="11" t="inlineStr">
        <is>
          <t>Mean</t>
        </is>
      </c>
      <c r="B21" s="14" t="n">
        <v>48.96</v>
      </c>
      <c r="C21" s="11" t="inlineStr"/>
      <c r="D21" s="11" t="inlineStr">
        <is>
          <t>Skewness</t>
        </is>
      </c>
      <c r="E21" s="14" t="n">
        <v>0.203194</v>
      </c>
    </row>
    <row r="22">
      <c r="A22" s="15" t="inlineStr">
        <is>
          <t>Median</t>
        </is>
      </c>
      <c r="B22" s="13" t="n">
        <v>51</v>
      </c>
      <c r="C22" s="15" t="inlineStr"/>
      <c r="D22" s="15" t="inlineStr">
        <is>
          <t>Kurtosis</t>
        </is>
      </c>
      <c r="E22" s="13" t="n">
        <v>2.100991</v>
      </c>
    </row>
    <row r="23">
      <c r="A23" s="11" t="inlineStr">
        <is>
          <t>Maximum</t>
        </is>
      </c>
      <c r="B23" s="10" t="n">
        <v>68</v>
      </c>
      <c r="C23" s="11" t="inlineStr"/>
      <c r="D23" s="11" t="inlineStr">
        <is>
          <t>Jarque-Bera</t>
        </is>
      </c>
      <c r="E23" s="14" t="n">
        <v>1.111222</v>
      </c>
    </row>
    <row r="24">
      <c r="A24" s="15" t="inlineStr">
        <is>
          <t>Minimum</t>
        </is>
      </c>
      <c r="B24" s="12" t="n">
        <v>36</v>
      </c>
      <c r="C24" s="15" t="inlineStr"/>
      <c r="D24" s="15" t="inlineStr">
        <is>
          <t>Probability</t>
        </is>
      </c>
      <c r="E24" s="13" t="n">
        <v>0.573722</v>
      </c>
    </row>
    <row r="25">
      <c r="A25" s="11" t="inlineStr">
        <is>
          <t>Std. Dev.</t>
        </is>
      </c>
      <c r="B25" s="14" t="n">
        <v>9.427265</v>
      </c>
      <c r="C25" s="11" t="inlineStr"/>
      <c r="D25" s="11" t="inlineStr">
        <is>
          <t>Observations</t>
        </is>
      </c>
      <c r="E25" s="10" t="n">
        <v>25</v>
      </c>
    </row>
  </sheetData>
  <mergeCells count="2">
    <mergeCell ref="A18:H1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1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18" customHeight="1">
      <c r="A1" s="7" t="inlineStr">
        <is>
          <t xml:space="preserve">  UNIT ROOT TESTS — ADF &amp; PHILLIPS-PERRON (EViews Format)</t>
        </is>
      </c>
    </row>
    <row r="2" ht="18" customHeight="1">
      <c r="A2" s="7" t="inlineStr">
        <is>
          <t xml:space="preserve">  A. ADF TEST — LEVEL</t>
        </is>
      </c>
    </row>
    <row r="3" ht="16" customHeight="1">
      <c r="A3" s="16" t="inlineStr">
        <is>
          <t xml:space="preserve">  ADF — Level | Exogenous: Intercept</t>
        </is>
      </c>
    </row>
    <row r="4">
      <c r="A4" s="17" t="inlineStr">
        <is>
          <t>Null Hypothesis:</t>
        </is>
      </c>
      <c r="B4" s="18" t="inlineStr">
        <is>
          <t>Series has a unit root (Intercept)</t>
        </is>
      </c>
      <c r="C4" s="8" t="n"/>
      <c r="D4" s="8" t="n"/>
      <c r="E4" s="8" t="n"/>
      <c r="F4" s="8" t="n"/>
      <c r="G4" s="8" t="n"/>
      <c r="H4" s="8" t="n"/>
    </row>
    <row r="5">
      <c r="A5" s="17" t="inlineStr">
        <is>
          <t>Lag Length:</t>
        </is>
      </c>
      <c r="B5" s="18" t="inlineStr">
        <is>
          <t>9 (Automatic - AIC, maxlag=4)</t>
        </is>
      </c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 ht="16" customHeight="1">
      <c r="A7" s="9" t="inlineStr"/>
      <c r="B7" s="9" t="inlineStr"/>
      <c r="C7" s="9" t="inlineStr">
        <is>
          <t>t-Statistic</t>
        </is>
      </c>
      <c r="D7" s="9" t="inlineStr">
        <is>
          <t>Prob.*</t>
        </is>
      </c>
      <c r="E7" s="9" t="inlineStr"/>
      <c r="F7" s="9" t="inlineStr"/>
      <c r="G7" s="9" t="inlineStr"/>
      <c r="H7" s="9" t="inlineStr"/>
    </row>
    <row r="8">
      <c r="A8" s="15" t="inlineStr">
        <is>
          <t>Augmented Dickey-Fuller test statistic</t>
        </is>
      </c>
      <c r="B8" s="15" t="inlineStr"/>
      <c r="C8" s="13" t="n">
        <v>-1.741666</v>
      </c>
      <c r="D8" s="13" t="n">
        <v>0.4098</v>
      </c>
      <c r="E8" s="15" t="inlineStr"/>
      <c r="F8" s="15" t="inlineStr"/>
      <c r="G8" s="15" t="inlineStr"/>
      <c r="H8" s="15" t="inlineStr"/>
    </row>
    <row r="9" ht="16" customHeight="1">
      <c r="A9" s="16" t="inlineStr">
        <is>
          <t xml:space="preserve">  Test Critical Values:</t>
        </is>
      </c>
    </row>
    <row r="10">
      <c r="A10" s="15" t="inlineStr">
        <is>
          <t xml:space="preserve">  1% level</t>
        </is>
      </c>
      <c r="B10" s="15" t="inlineStr"/>
      <c r="C10" s="13" t="n">
        <v>-3.964443</v>
      </c>
      <c r="D10" s="15" t="inlineStr"/>
      <c r="E10" s="15" t="inlineStr"/>
      <c r="F10" s="15" t="inlineStr"/>
      <c r="G10" s="15" t="inlineStr"/>
      <c r="H10" s="15" t="inlineStr"/>
    </row>
    <row r="11">
      <c r="A11" s="15" t="inlineStr">
        <is>
          <t xml:space="preserve">  5% level</t>
        </is>
      </c>
      <c r="B11" s="15" t="inlineStr"/>
      <c r="C11" s="13" t="n">
        <v>-3.084908</v>
      </c>
      <c r="D11" s="15" t="inlineStr"/>
      <c r="E11" s="15" t="inlineStr"/>
      <c r="F11" s="15" t="inlineStr"/>
      <c r="G11" s="15" t="inlineStr"/>
      <c r="H11" s="15" t="inlineStr"/>
    </row>
    <row r="12">
      <c r="A12" s="15" t="inlineStr">
        <is>
          <t xml:space="preserve">  10% level</t>
        </is>
      </c>
      <c r="B12" s="15" t="inlineStr"/>
      <c r="C12" s="13" t="n">
        <v>-2.681814</v>
      </c>
      <c r="D12" s="15" t="inlineStr"/>
      <c r="E12" s="15" t="inlineStr"/>
      <c r="F12" s="15" t="inlineStr"/>
      <c r="G12" s="15" t="inlineStr"/>
      <c r="H12" s="15" t="inlineStr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19" t="inlineStr">
        <is>
          <t>*MacKinnon (1996) one-sided p-values.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 ht="16" customHeight="1">
      <c r="A16" s="16" t="inlineStr">
        <is>
          <t xml:space="preserve">  ADF — Level | Exogenous: Trend and Intercept</t>
        </is>
      </c>
    </row>
    <row r="17">
      <c r="A17" s="17" t="inlineStr">
        <is>
          <t>Null Hypothesis:</t>
        </is>
      </c>
      <c r="B17" s="18" t="inlineStr">
        <is>
          <t>Series has a unit root (Trend and Intercept)</t>
        </is>
      </c>
      <c r="C17" s="8" t="n"/>
      <c r="D17" s="8" t="n"/>
      <c r="E17" s="8" t="n"/>
      <c r="F17" s="8" t="n"/>
      <c r="G17" s="8" t="n"/>
      <c r="H17" s="8" t="n"/>
    </row>
    <row r="18">
      <c r="A18" s="17" t="inlineStr">
        <is>
          <t>Lag Length:</t>
        </is>
      </c>
      <c r="B18" s="18" t="inlineStr">
        <is>
          <t>7 (Automatic - AIC, maxlag=4)</t>
        </is>
      </c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 ht="16" customHeight="1">
      <c r="A20" s="9" t="inlineStr"/>
      <c r="B20" s="9" t="inlineStr"/>
      <c r="C20" s="9" t="inlineStr">
        <is>
          <t>t-Statistic</t>
        </is>
      </c>
      <c r="D20" s="9" t="inlineStr">
        <is>
          <t>Prob.*</t>
        </is>
      </c>
      <c r="E20" s="9" t="inlineStr"/>
      <c r="F20" s="9" t="inlineStr"/>
      <c r="G20" s="9" t="inlineStr"/>
      <c r="H20" s="9" t="inlineStr"/>
    </row>
    <row r="21">
      <c r="A21" s="15" t="inlineStr">
        <is>
          <t>Augmented Dickey-Fuller test statistic</t>
        </is>
      </c>
      <c r="B21" s="15" t="inlineStr"/>
      <c r="C21" s="13" t="n">
        <v>-3.69338</v>
      </c>
      <c r="D21" s="13" t="n">
        <v>0.0228</v>
      </c>
      <c r="E21" s="15" t="inlineStr"/>
      <c r="F21" s="15" t="inlineStr"/>
      <c r="G21" s="15" t="inlineStr"/>
      <c r="H21" s="15" t="inlineStr"/>
    </row>
    <row r="22" ht="16" customHeight="1">
      <c r="A22" s="16" t="inlineStr">
        <is>
          <t xml:space="preserve">  Test Critical Values:</t>
        </is>
      </c>
    </row>
    <row r="23">
      <c r="A23" s="15" t="inlineStr">
        <is>
          <t xml:space="preserve">  1% level</t>
        </is>
      </c>
      <c r="B23" s="15" t="inlineStr"/>
      <c r="C23" s="13" t="n">
        <v>-4.616978</v>
      </c>
      <c r="D23" s="15" t="inlineStr"/>
      <c r="E23" s="15" t="inlineStr"/>
      <c r="F23" s="15" t="inlineStr"/>
      <c r="G23" s="15" t="inlineStr"/>
      <c r="H23" s="15" t="inlineStr"/>
    </row>
    <row r="24">
      <c r="A24" s="15" t="inlineStr">
        <is>
          <t xml:space="preserve">  5% level</t>
        </is>
      </c>
      <c r="B24" s="15" t="inlineStr"/>
      <c r="C24" s="13" t="n">
        <v>-3.709251</v>
      </c>
      <c r="D24" s="15" t="inlineStr"/>
      <c r="E24" s="15" t="inlineStr"/>
      <c r="F24" s="15" t="inlineStr"/>
      <c r="G24" s="15" t="inlineStr"/>
      <c r="H24" s="15" t="inlineStr"/>
    </row>
    <row r="25">
      <c r="A25" s="15" t="inlineStr">
        <is>
          <t xml:space="preserve">  10% level</t>
        </is>
      </c>
      <c r="B25" s="15" t="inlineStr"/>
      <c r="C25" s="13" t="n">
        <v>-3.297281</v>
      </c>
      <c r="D25" s="15" t="inlineStr"/>
      <c r="E25" s="15" t="inlineStr"/>
      <c r="F25" s="15" t="inlineStr"/>
      <c r="G25" s="15" t="inlineStr"/>
      <c r="H25" s="15" t="inlineStr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19" t="inlineStr">
        <is>
          <t>*MacKinnon (1996) one-sided p-values.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</row>
    <row r="29" ht="16" customHeight="1">
      <c r="A29" s="16" t="inlineStr">
        <is>
          <t xml:space="preserve">  ADF — Level | Exogenous: None</t>
        </is>
      </c>
    </row>
    <row r="30">
      <c r="A30" s="17" t="inlineStr">
        <is>
          <t>Null Hypothesis:</t>
        </is>
      </c>
      <c r="B30" s="18" t="inlineStr">
        <is>
          <t>Series has a unit root (None)</t>
        </is>
      </c>
      <c r="C30" s="8" t="n"/>
      <c r="D30" s="8" t="n"/>
      <c r="E30" s="8" t="n"/>
      <c r="F30" s="8" t="n"/>
      <c r="G30" s="8" t="n"/>
      <c r="H30" s="8" t="n"/>
    </row>
    <row r="31">
      <c r="A31" s="17" t="inlineStr">
        <is>
          <t>Lag Length:</t>
        </is>
      </c>
      <c r="B31" s="18" t="inlineStr">
        <is>
          <t>9 (Automatic - AIC, maxlag=4)</t>
        </is>
      </c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 ht="16" customHeight="1">
      <c r="A33" s="9" t="inlineStr"/>
      <c r="B33" s="9" t="inlineStr"/>
      <c r="C33" s="9" t="inlineStr">
        <is>
          <t>t-Statistic</t>
        </is>
      </c>
      <c r="D33" s="9" t="inlineStr">
        <is>
          <t>Prob.*</t>
        </is>
      </c>
      <c r="E33" s="9" t="inlineStr"/>
      <c r="F33" s="9" t="inlineStr"/>
      <c r="G33" s="9" t="inlineStr"/>
      <c r="H33" s="9" t="inlineStr"/>
    </row>
    <row r="34">
      <c r="A34" s="15" t="inlineStr">
        <is>
          <t>Augmented Dickey-Fuller test statistic</t>
        </is>
      </c>
      <c r="B34" s="15" t="inlineStr"/>
      <c r="C34" s="13" t="n">
        <v>2.260317</v>
      </c>
      <c r="D34" s="13" t="n">
        <v>0.9956</v>
      </c>
      <c r="E34" s="15" t="inlineStr"/>
      <c r="F34" s="15" t="inlineStr"/>
      <c r="G34" s="15" t="inlineStr"/>
      <c r="H34" s="15" t="inlineStr"/>
    </row>
    <row r="35" ht="16" customHeight="1">
      <c r="A35" s="16" t="inlineStr">
        <is>
          <t xml:space="preserve">  Test Critical Values:</t>
        </is>
      </c>
    </row>
    <row r="36">
      <c r="A36" s="15" t="inlineStr">
        <is>
          <t xml:space="preserve">  1% level</t>
        </is>
      </c>
      <c r="B36" s="15" t="inlineStr"/>
      <c r="C36" s="13" t="n">
        <v>-2.730913</v>
      </c>
      <c r="D36" s="15" t="inlineStr"/>
      <c r="E36" s="15" t="inlineStr"/>
      <c r="F36" s="15" t="inlineStr"/>
      <c r="G36" s="15" t="inlineStr"/>
      <c r="H36" s="15" t="inlineStr"/>
    </row>
    <row r="37">
      <c r="A37" s="15" t="inlineStr">
        <is>
          <t xml:space="preserve">  5% level</t>
        </is>
      </c>
      <c r="B37" s="15" t="inlineStr"/>
      <c r="C37" s="13" t="n">
        <v>-1.964611</v>
      </c>
      <c r="D37" s="15" t="inlineStr"/>
      <c r="E37" s="15" t="inlineStr"/>
      <c r="F37" s="15" t="inlineStr"/>
      <c r="G37" s="15" t="inlineStr"/>
      <c r="H37" s="15" t="inlineStr"/>
    </row>
    <row r="38">
      <c r="A38" s="15" t="inlineStr">
        <is>
          <t xml:space="preserve">  10% level</t>
        </is>
      </c>
      <c r="B38" s="15" t="inlineStr"/>
      <c r="C38" s="13" t="n">
        <v>-1.60366</v>
      </c>
      <c r="D38" s="15" t="inlineStr"/>
      <c r="E38" s="15" t="inlineStr"/>
      <c r="F38" s="15" t="inlineStr"/>
      <c r="G38" s="15" t="inlineStr"/>
      <c r="H38" s="15" t="inlineStr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19" t="inlineStr">
        <is>
          <t>*MacKinnon (1996) one-sided p-values.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 ht="18" customHeight="1">
      <c r="A42" s="7" t="inlineStr">
        <is>
          <t xml:space="preserve">  B. ADF TEST — 1ST DIFFERENCE</t>
        </is>
      </c>
    </row>
    <row r="43" ht="16" customHeight="1">
      <c r="A43" s="16" t="inlineStr">
        <is>
          <t xml:space="preserve">  ADF — 1st Difference | Exogenous: Intercept</t>
        </is>
      </c>
    </row>
    <row r="44">
      <c r="A44" s="17" t="inlineStr">
        <is>
          <t>Null Hypothesis:</t>
        </is>
      </c>
      <c r="B44" s="18" t="inlineStr">
        <is>
          <t>Series has a unit root (Intercept)</t>
        </is>
      </c>
      <c r="C44" s="8" t="n"/>
      <c r="D44" s="8" t="n"/>
      <c r="E44" s="8" t="n"/>
      <c r="F44" s="8" t="n"/>
      <c r="G44" s="8" t="n"/>
      <c r="H44" s="8" t="n"/>
    </row>
    <row r="45">
      <c r="A45" s="17" t="inlineStr">
        <is>
          <t>Lag Length:</t>
        </is>
      </c>
      <c r="B45" s="18" t="inlineStr">
        <is>
          <t>8 (Automatic - AIC, maxlag=4)</t>
        </is>
      </c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 ht="16" customHeight="1">
      <c r="A47" s="9" t="inlineStr"/>
      <c r="B47" s="9" t="inlineStr"/>
      <c r="C47" s="9" t="inlineStr">
        <is>
          <t>t-Statistic</t>
        </is>
      </c>
      <c r="D47" s="9" t="inlineStr">
        <is>
          <t>Prob.*</t>
        </is>
      </c>
      <c r="E47" s="9" t="inlineStr"/>
      <c r="F47" s="9" t="inlineStr"/>
      <c r="G47" s="9" t="inlineStr"/>
      <c r="H47" s="9" t="inlineStr"/>
    </row>
    <row r="48">
      <c r="A48" s="15" t="inlineStr">
        <is>
          <t>Augmented Dickey-Fuller test statistic</t>
        </is>
      </c>
      <c r="B48" s="15" t="inlineStr"/>
      <c r="C48" s="13" t="n">
        <v>-3.168727</v>
      </c>
      <c r="D48" s="13" t="n">
        <v>0.0219</v>
      </c>
      <c r="E48" s="15" t="inlineStr"/>
      <c r="F48" s="15" t="inlineStr"/>
      <c r="G48" s="15" t="inlineStr"/>
      <c r="H48" s="15" t="inlineStr"/>
    </row>
    <row r="49" ht="16" customHeight="1">
      <c r="A49" s="16" t="inlineStr">
        <is>
          <t xml:space="preserve">  Test Critical Values:</t>
        </is>
      </c>
    </row>
    <row r="50">
      <c r="A50" s="15" t="inlineStr">
        <is>
          <t xml:space="preserve">  1% level</t>
        </is>
      </c>
      <c r="B50" s="15" t="inlineStr"/>
      <c r="C50" s="13" t="n">
        <v>-3.964443</v>
      </c>
      <c r="D50" s="15" t="inlineStr"/>
      <c r="E50" s="15" t="inlineStr"/>
      <c r="F50" s="15" t="inlineStr"/>
      <c r="G50" s="15" t="inlineStr"/>
      <c r="H50" s="15" t="inlineStr"/>
    </row>
    <row r="51">
      <c r="A51" s="15" t="inlineStr">
        <is>
          <t xml:space="preserve">  5% level</t>
        </is>
      </c>
      <c r="B51" s="15" t="inlineStr"/>
      <c r="C51" s="13" t="n">
        <v>-3.084908</v>
      </c>
      <c r="D51" s="15" t="inlineStr"/>
      <c r="E51" s="15" t="inlineStr"/>
      <c r="F51" s="15" t="inlineStr"/>
      <c r="G51" s="15" t="inlineStr"/>
      <c r="H51" s="15" t="inlineStr"/>
    </row>
    <row r="52">
      <c r="A52" s="15" t="inlineStr">
        <is>
          <t xml:space="preserve">  10% level</t>
        </is>
      </c>
      <c r="B52" s="15" t="inlineStr"/>
      <c r="C52" s="13" t="n">
        <v>-2.681814</v>
      </c>
      <c r="D52" s="15" t="inlineStr"/>
      <c r="E52" s="15" t="inlineStr"/>
      <c r="F52" s="15" t="inlineStr"/>
      <c r="G52" s="15" t="inlineStr"/>
      <c r="H52" s="15" t="inlineStr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19" t="inlineStr">
        <is>
          <t>*MacKinnon (1996) one-sided p-values.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 ht="16" customHeight="1">
      <c r="A56" s="16" t="inlineStr">
        <is>
          <t xml:space="preserve">  ADF — 1st Difference | Exogenous: Trend and Intercept</t>
        </is>
      </c>
    </row>
    <row r="57">
      <c r="A57" s="17" t="inlineStr">
        <is>
          <t>Null Hypothesis:</t>
        </is>
      </c>
      <c r="B57" s="18" t="inlineStr">
        <is>
          <t>Series has a unit root (Trend and Intercept)</t>
        </is>
      </c>
      <c r="C57" s="8" t="n"/>
      <c r="D57" s="8" t="n"/>
      <c r="E57" s="8" t="n"/>
      <c r="F57" s="8" t="n"/>
      <c r="G57" s="8" t="n"/>
      <c r="H57" s="8" t="n"/>
    </row>
    <row r="58">
      <c r="A58" s="17" t="inlineStr">
        <is>
          <t>Lag Length:</t>
        </is>
      </c>
      <c r="B58" s="18" t="inlineStr">
        <is>
          <t>9 (Automatic - AIC, maxlag=4)</t>
        </is>
      </c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 ht="16" customHeight="1">
      <c r="A60" s="9" t="inlineStr"/>
      <c r="B60" s="9" t="inlineStr"/>
      <c r="C60" s="9" t="inlineStr">
        <is>
          <t>t-Statistic</t>
        </is>
      </c>
      <c r="D60" s="9" t="inlineStr">
        <is>
          <t>Prob.*</t>
        </is>
      </c>
      <c r="E60" s="9" t="inlineStr"/>
      <c r="F60" s="9" t="inlineStr"/>
      <c r="G60" s="9" t="inlineStr"/>
      <c r="H60" s="9" t="inlineStr"/>
    </row>
    <row r="61">
      <c r="A61" s="15" t="inlineStr">
        <is>
          <t>Augmented Dickey-Fuller test statistic</t>
        </is>
      </c>
      <c r="B61" s="15" t="inlineStr"/>
      <c r="C61" s="13" t="n">
        <v>-0.78447</v>
      </c>
      <c r="D61" s="13" t="n">
        <v>0.967</v>
      </c>
      <c r="E61" s="15" t="inlineStr"/>
      <c r="F61" s="15" t="inlineStr"/>
      <c r="G61" s="15" t="inlineStr"/>
      <c r="H61" s="15" t="inlineStr"/>
    </row>
    <row r="62" ht="16" customHeight="1">
      <c r="A62" s="16" t="inlineStr">
        <is>
          <t xml:space="preserve">  Test Critical Values:</t>
        </is>
      </c>
    </row>
    <row r="63">
      <c r="A63" s="15" t="inlineStr">
        <is>
          <t xml:space="preserve">  1% level</t>
        </is>
      </c>
      <c r="B63" s="15" t="inlineStr"/>
      <c r="C63" s="13" t="n">
        <v>-4.799351</v>
      </c>
      <c r="D63" s="15" t="inlineStr"/>
      <c r="E63" s="15" t="inlineStr"/>
      <c r="F63" s="15" t="inlineStr"/>
      <c r="G63" s="15" t="inlineStr"/>
      <c r="H63" s="15" t="inlineStr"/>
    </row>
    <row r="64">
      <c r="A64" s="15" t="inlineStr">
        <is>
          <t xml:space="preserve">  5% level</t>
        </is>
      </c>
      <c r="B64" s="15" t="inlineStr"/>
      <c r="C64" s="13" t="n">
        <v>-3.786728</v>
      </c>
      <c r="D64" s="15" t="inlineStr"/>
      <c r="E64" s="15" t="inlineStr"/>
      <c r="F64" s="15" t="inlineStr"/>
      <c r="G64" s="15" t="inlineStr"/>
      <c r="H64" s="15" t="inlineStr"/>
    </row>
    <row r="65">
      <c r="A65" s="15" t="inlineStr">
        <is>
          <t xml:space="preserve">  10% level</t>
        </is>
      </c>
      <c r="B65" s="15" t="inlineStr"/>
      <c r="C65" s="13" t="n">
        <v>-3.339917</v>
      </c>
      <c r="D65" s="15" t="inlineStr"/>
      <c r="E65" s="15" t="inlineStr"/>
      <c r="F65" s="15" t="inlineStr"/>
      <c r="G65" s="15" t="inlineStr"/>
      <c r="H65" s="15" t="inlineStr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19" t="inlineStr">
        <is>
          <t>*MacKinnon (1996) one-sided p-values.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 ht="16" customHeight="1">
      <c r="A69" s="16" t="inlineStr">
        <is>
          <t xml:space="preserve">  ADF — 1st Difference | Exogenous: None</t>
        </is>
      </c>
    </row>
    <row r="70">
      <c r="A70" s="17" t="inlineStr">
        <is>
          <t>Null Hypothesis:</t>
        </is>
      </c>
      <c r="B70" s="18" t="inlineStr">
        <is>
          <t>Series has a unit root (None)</t>
        </is>
      </c>
      <c r="C70" s="8" t="n"/>
      <c r="D70" s="8" t="n"/>
      <c r="E70" s="8" t="n"/>
      <c r="F70" s="8" t="n"/>
      <c r="G70" s="8" t="n"/>
      <c r="H70" s="8" t="n"/>
    </row>
    <row r="71">
      <c r="A71" s="17" t="inlineStr">
        <is>
          <t>Lag Length:</t>
        </is>
      </c>
      <c r="B71" s="18" t="inlineStr">
        <is>
          <t>9 (Automatic - AIC, maxlag=4)</t>
        </is>
      </c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 ht="16" customHeight="1">
      <c r="A73" s="9" t="inlineStr"/>
      <c r="B73" s="9" t="inlineStr"/>
      <c r="C73" s="9" t="inlineStr">
        <is>
          <t>t-Statistic</t>
        </is>
      </c>
      <c r="D73" s="9" t="inlineStr">
        <is>
          <t>Prob.*</t>
        </is>
      </c>
      <c r="E73" s="9" t="inlineStr"/>
      <c r="F73" s="9" t="inlineStr"/>
      <c r="G73" s="9" t="inlineStr"/>
      <c r="H73" s="9" t="inlineStr"/>
    </row>
    <row r="74">
      <c r="A74" s="15" t="inlineStr">
        <is>
          <t>Augmented Dickey-Fuller test statistic</t>
        </is>
      </c>
      <c r="B74" s="15" t="inlineStr"/>
      <c r="C74" s="13" t="n">
        <v>-0.519525</v>
      </c>
      <c r="D74" s="13" t="n">
        <v>0.4881</v>
      </c>
      <c r="E74" s="15" t="inlineStr"/>
      <c r="F74" s="15" t="inlineStr"/>
      <c r="G74" s="15" t="inlineStr"/>
      <c r="H74" s="15" t="inlineStr"/>
    </row>
    <row r="75" ht="16" customHeight="1">
      <c r="A75" s="16" t="inlineStr">
        <is>
          <t xml:space="preserve">  Test Critical Values:</t>
        </is>
      </c>
    </row>
    <row r="76">
      <c r="A76" s="15" t="inlineStr">
        <is>
          <t xml:space="preserve">  1% level</t>
        </is>
      </c>
      <c r="B76" s="15" t="inlineStr"/>
      <c r="C76" s="13" t="n">
        <v>-2.743945</v>
      </c>
      <c r="D76" s="15" t="inlineStr"/>
      <c r="E76" s="15" t="inlineStr"/>
      <c r="F76" s="15" t="inlineStr"/>
      <c r="G76" s="15" t="inlineStr"/>
      <c r="H76" s="15" t="inlineStr"/>
    </row>
    <row r="77">
      <c r="A77" s="15" t="inlineStr">
        <is>
          <t xml:space="preserve">  5% level</t>
        </is>
      </c>
      <c r="B77" s="15" t="inlineStr"/>
      <c r="C77" s="13" t="n">
        <v>-1.965975</v>
      </c>
      <c r="D77" s="15" t="inlineStr"/>
      <c r="E77" s="15" t="inlineStr"/>
      <c r="F77" s="15" t="inlineStr"/>
      <c r="G77" s="15" t="inlineStr"/>
      <c r="H77" s="15" t="inlineStr"/>
    </row>
    <row r="78">
      <c r="A78" s="15" t="inlineStr">
        <is>
          <t xml:space="preserve">  10% level</t>
        </is>
      </c>
      <c r="B78" s="15" t="inlineStr"/>
      <c r="C78" s="13" t="n">
        <v>-1.602452</v>
      </c>
      <c r="D78" s="15" t="inlineStr"/>
      <c r="E78" s="15" t="inlineStr"/>
      <c r="F78" s="15" t="inlineStr"/>
      <c r="G78" s="15" t="inlineStr"/>
      <c r="H78" s="15" t="inlineStr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</row>
    <row r="80">
      <c r="A80" s="19" t="inlineStr">
        <is>
          <t>*MacKinnon (1996) one-sided p-values.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</row>
    <row r="82" ht="18" customHeight="1">
      <c r="A82" s="7" t="inlineStr">
        <is>
          <t xml:space="preserve">  C. PHILLIPS-PERRON TEST — LEVEL</t>
        </is>
      </c>
    </row>
    <row r="83" ht="16" customHeight="1">
      <c r="A83" s="16" t="inlineStr">
        <is>
          <t xml:space="preserve">  PP — Level | Exogenous: Intercept</t>
        </is>
      </c>
    </row>
    <row r="84">
      <c r="A84" s="17" t="inlineStr">
        <is>
          <t>Null Hypothesis:</t>
        </is>
      </c>
      <c r="B84" s="18" t="inlineStr">
        <is>
          <t>Series has a unit root (Intercept)</t>
        </is>
      </c>
      <c r="C84" s="8" t="n"/>
      <c r="D84" s="8" t="n"/>
      <c r="E84" s="8" t="n"/>
      <c r="F84" s="8" t="n"/>
      <c r="G84" s="8" t="n"/>
      <c r="H84" s="8" t="n"/>
    </row>
    <row r="85">
      <c r="A85" s="17" t="inlineStr">
        <is>
          <t>Bandwidth:</t>
        </is>
      </c>
      <c r="B85" s="18" t="inlineStr">
        <is>
          <t>2 (Newey-West automatic) using Bartlett kernel</t>
        </is>
      </c>
      <c r="C85" s="8" t="n"/>
      <c r="D85" s="8" t="n"/>
      <c r="E85" s="8" t="n"/>
      <c r="F85" s="8" t="n"/>
      <c r="G85" s="8" t="n"/>
      <c r="H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</row>
    <row r="87" ht="16" customHeight="1">
      <c r="A87" s="9" t="inlineStr"/>
      <c r="B87" s="9" t="inlineStr"/>
      <c r="C87" s="9" t="inlineStr">
        <is>
          <t>Adj. t-Stat</t>
        </is>
      </c>
      <c r="D87" s="9" t="inlineStr">
        <is>
          <t>Prob.*</t>
        </is>
      </c>
      <c r="E87" s="9" t="inlineStr"/>
      <c r="F87" s="9" t="inlineStr"/>
      <c r="G87" s="9" t="inlineStr"/>
      <c r="H87" s="9" t="inlineStr"/>
    </row>
    <row r="88">
      <c r="A88" s="15" t="inlineStr">
        <is>
          <t>Phillips-Perron test statistic</t>
        </is>
      </c>
      <c r="B88" s="15" t="inlineStr"/>
      <c r="C88" s="13" t="n">
        <v>-5.490268</v>
      </c>
      <c r="D88" s="13" t="n">
        <v>0</v>
      </c>
      <c r="E88" s="15" t="inlineStr"/>
      <c r="F88" s="15" t="inlineStr"/>
      <c r="G88" s="15" t="inlineStr"/>
      <c r="H88" s="15" t="inlineStr"/>
    </row>
    <row r="89" ht="16" customHeight="1">
      <c r="A89" s="16" t="inlineStr">
        <is>
          <t xml:space="preserve">  Test Critical Values:</t>
        </is>
      </c>
    </row>
    <row r="90">
      <c r="A90" s="15" t="inlineStr">
        <is>
          <t xml:space="preserve">  1% level</t>
        </is>
      </c>
      <c r="B90" s="15" t="inlineStr"/>
      <c r="C90" s="13" t="n">
        <v>-3.737709</v>
      </c>
      <c r="D90" s="15" t="inlineStr"/>
      <c r="E90" s="15" t="inlineStr"/>
      <c r="F90" s="15" t="inlineStr"/>
      <c r="G90" s="15" t="inlineStr"/>
      <c r="H90" s="15" t="inlineStr"/>
    </row>
    <row r="91">
      <c r="A91" s="15" t="inlineStr">
        <is>
          <t xml:space="preserve">  5% level</t>
        </is>
      </c>
      <c r="B91" s="15" t="inlineStr"/>
      <c r="C91" s="13" t="n">
        <v>-2.992216</v>
      </c>
      <c r="D91" s="15" t="inlineStr"/>
      <c r="E91" s="15" t="inlineStr"/>
      <c r="F91" s="15" t="inlineStr"/>
      <c r="G91" s="15" t="inlineStr"/>
      <c r="H91" s="15" t="inlineStr"/>
    </row>
    <row r="92">
      <c r="A92" s="15" t="inlineStr">
        <is>
          <t xml:space="preserve">  10% level</t>
        </is>
      </c>
      <c r="B92" s="15" t="inlineStr"/>
      <c r="C92" s="13" t="n">
        <v>-2.635747</v>
      </c>
      <c r="D92" s="15" t="inlineStr"/>
      <c r="E92" s="15" t="inlineStr"/>
      <c r="F92" s="15" t="inlineStr"/>
      <c r="G92" s="15" t="inlineStr"/>
      <c r="H92" s="15" t="inlineStr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</row>
    <row r="94">
      <c r="A94" s="19" t="inlineStr">
        <is>
          <t>*MacKinnon (1996) one-sided p-values.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</row>
    <row r="96" ht="16" customHeight="1">
      <c r="A96" s="16" t="inlineStr">
        <is>
          <t xml:space="preserve">  PP — Level | Exogenous: Trend and Intercept</t>
        </is>
      </c>
    </row>
    <row r="97">
      <c r="A97" s="17" t="inlineStr">
        <is>
          <t>Null Hypothesis:</t>
        </is>
      </c>
      <c r="B97" s="18" t="inlineStr">
        <is>
          <t>Series has a unit root (Trend and Intercept)</t>
        </is>
      </c>
      <c r="C97" s="8" t="n"/>
      <c r="D97" s="8" t="n"/>
      <c r="E97" s="8" t="n"/>
      <c r="F97" s="8" t="n"/>
      <c r="G97" s="8" t="n"/>
      <c r="H97" s="8" t="n"/>
    </row>
    <row r="98">
      <c r="A98" s="17" t="inlineStr">
        <is>
          <t>Bandwidth:</t>
        </is>
      </c>
      <c r="B98" s="18" t="inlineStr">
        <is>
          <t>2 (Newey-West automatic) using Bartlett kernel</t>
        </is>
      </c>
      <c r="C98" s="8" t="n"/>
      <c r="D98" s="8" t="n"/>
      <c r="E98" s="8" t="n"/>
      <c r="F98" s="8" t="n"/>
      <c r="G98" s="8" t="n"/>
      <c r="H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</row>
    <row r="100" ht="16" customHeight="1">
      <c r="A100" s="9" t="inlineStr"/>
      <c r="B100" s="9" t="inlineStr"/>
      <c r="C100" s="9" t="inlineStr">
        <is>
          <t>Adj. t-Stat</t>
        </is>
      </c>
      <c r="D100" s="9" t="inlineStr">
        <is>
          <t>Prob.*</t>
        </is>
      </c>
      <c r="E100" s="9" t="inlineStr"/>
      <c r="F100" s="9" t="inlineStr"/>
      <c r="G100" s="9" t="inlineStr"/>
      <c r="H100" s="9" t="inlineStr"/>
    </row>
    <row r="101">
      <c r="A101" s="15" t="inlineStr">
        <is>
          <t>Phillips-Perron test statistic</t>
        </is>
      </c>
      <c r="B101" s="15" t="inlineStr"/>
      <c r="C101" s="13" t="n">
        <v>-8.147817</v>
      </c>
      <c r="D101" s="13" t="n">
        <v>0</v>
      </c>
      <c r="E101" s="15" t="inlineStr"/>
      <c r="F101" s="15" t="inlineStr"/>
      <c r="G101" s="15" t="inlineStr"/>
      <c r="H101" s="15" t="inlineStr"/>
    </row>
    <row r="102" ht="16" customHeight="1">
      <c r="A102" s="16" t="inlineStr">
        <is>
          <t xml:space="preserve">  Test Critical Values:</t>
        </is>
      </c>
    </row>
    <row r="103">
      <c r="A103" s="15" t="inlineStr">
        <is>
          <t xml:space="preserve">  1% level</t>
        </is>
      </c>
      <c r="B103" s="15" t="inlineStr"/>
      <c r="C103" s="13" t="n">
        <v>-4.395041</v>
      </c>
      <c r="D103" s="15" t="inlineStr"/>
      <c r="E103" s="15" t="inlineStr"/>
      <c r="F103" s="15" t="inlineStr"/>
      <c r="G103" s="15" t="inlineStr"/>
      <c r="H103" s="15" t="inlineStr"/>
    </row>
    <row r="104">
      <c r="A104" s="15" t="inlineStr">
        <is>
          <t xml:space="preserve">  5% level</t>
        </is>
      </c>
      <c r="B104" s="15" t="inlineStr"/>
      <c r="C104" s="13" t="n">
        <v>-3.612393</v>
      </c>
      <c r="D104" s="15" t="inlineStr"/>
      <c r="E104" s="15" t="inlineStr"/>
      <c r="F104" s="15" t="inlineStr"/>
      <c r="G104" s="15" t="inlineStr"/>
      <c r="H104" s="15" t="inlineStr"/>
    </row>
    <row r="105">
      <c r="A105" s="15" t="inlineStr">
        <is>
          <t xml:space="preserve">  10% level</t>
        </is>
      </c>
      <c r="B105" s="15" t="inlineStr"/>
      <c r="C105" s="13" t="n">
        <v>-3.243216</v>
      </c>
      <c r="D105" s="15" t="inlineStr"/>
      <c r="E105" s="15" t="inlineStr"/>
      <c r="F105" s="15" t="inlineStr"/>
      <c r="G105" s="15" t="inlineStr"/>
      <c r="H105" s="15" t="inlineStr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</row>
    <row r="107">
      <c r="A107" s="19" t="inlineStr">
        <is>
          <t>*MacKinnon (1996) one-sided p-values.</t>
        </is>
      </c>
      <c r="B107" s="8" t="n"/>
      <c r="C107" s="8" t="n"/>
      <c r="D107" s="8" t="n"/>
      <c r="E107" s="8" t="n"/>
      <c r="F107" s="8" t="n"/>
      <c r="G107" s="8" t="n"/>
      <c r="H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</row>
    <row r="109" ht="16" customHeight="1">
      <c r="A109" s="16" t="inlineStr">
        <is>
          <t xml:space="preserve">  PP — Level | Exogenous: None</t>
        </is>
      </c>
    </row>
    <row r="110">
      <c r="A110" s="17" t="inlineStr">
        <is>
          <t>Null Hypothesis:</t>
        </is>
      </c>
      <c r="B110" s="18" t="inlineStr">
        <is>
          <t>Series has a unit root (None)</t>
        </is>
      </c>
      <c r="C110" s="8" t="n"/>
      <c r="D110" s="8" t="n"/>
      <c r="E110" s="8" t="n"/>
      <c r="F110" s="8" t="n"/>
      <c r="G110" s="8" t="n"/>
      <c r="H110" s="8" t="n"/>
    </row>
    <row r="111">
      <c r="A111" s="17" t="inlineStr">
        <is>
          <t>Bandwidth:</t>
        </is>
      </c>
      <c r="B111" s="18" t="inlineStr">
        <is>
          <t>2 (Newey-West automatic) using Bartlett kernel</t>
        </is>
      </c>
      <c r="C111" s="8" t="n"/>
      <c r="D111" s="8" t="n"/>
      <c r="E111" s="8" t="n"/>
      <c r="F111" s="8" t="n"/>
      <c r="G111" s="8" t="n"/>
      <c r="H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</row>
    <row r="113" ht="16" customHeight="1">
      <c r="A113" s="9" t="inlineStr"/>
      <c r="B113" s="9" t="inlineStr"/>
      <c r="C113" s="9" t="inlineStr">
        <is>
          <t>Adj. t-Stat</t>
        </is>
      </c>
      <c r="D113" s="9" t="inlineStr">
        <is>
          <t>Prob.*</t>
        </is>
      </c>
      <c r="E113" s="9" t="inlineStr"/>
      <c r="F113" s="9" t="inlineStr"/>
      <c r="G113" s="9" t="inlineStr"/>
      <c r="H113" s="9" t="inlineStr"/>
    </row>
    <row r="114">
      <c r="A114" s="15" t="inlineStr">
        <is>
          <t>Phillips-Perron test statistic</t>
        </is>
      </c>
      <c r="B114" s="15" t="inlineStr"/>
      <c r="C114" s="13" t="n">
        <v>0.035606</v>
      </c>
      <c r="D114" s="13" t="n">
        <v>0.696</v>
      </c>
      <c r="E114" s="15" t="inlineStr"/>
      <c r="F114" s="15" t="inlineStr"/>
      <c r="G114" s="15" t="inlineStr"/>
      <c r="H114" s="15" t="inlineStr"/>
    </row>
    <row r="115" ht="16" customHeight="1">
      <c r="A115" s="16" t="inlineStr">
        <is>
          <t xml:space="preserve">  Test Critical Values:</t>
        </is>
      </c>
    </row>
    <row r="116">
      <c r="A116" s="15" t="inlineStr">
        <is>
          <t xml:space="preserve">  1% level</t>
        </is>
      </c>
      <c r="B116" s="15" t="inlineStr"/>
      <c r="C116" s="13" t="n">
        <v>-2.665195</v>
      </c>
      <c r="D116" s="15" t="inlineStr"/>
      <c r="E116" s="15" t="inlineStr"/>
      <c r="F116" s="15" t="inlineStr"/>
      <c r="G116" s="15" t="inlineStr"/>
      <c r="H116" s="15" t="inlineStr"/>
    </row>
    <row r="117">
      <c r="A117" s="15" t="inlineStr">
        <is>
          <t xml:space="preserve">  5% level</t>
        </is>
      </c>
      <c r="B117" s="15" t="inlineStr"/>
      <c r="C117" s="13" t="n">
        <v>-1.955775</v>
      </c>
      <c r="D117" s="15" t="inlineStr"/>
      <c r="E117" s="15" t="inlineStr"/>
      <c r="F117" s="15" t="inlineStr"/>
      <c r="G117" s="15" t="inlineStr"/>
      <c r="H117" s="15" t="inlineStr"/>
    </row>
    <row r="118">
      <c r="A118" s="15" t="inlineStr">
        <is>
          <t xml:space="preserve">  10% level</t>
        </is>
      </c>
      <c r="B118" s="15" t="inlineStr"/>
      <c r="C118" s="13" t="n">
        <v>-1.60863</v>
      </c>
      <c r="D118" s="15" t="inlineStr"/>
      <c r="E118" s="15" t="inlineStr"/>
      <c r="F118" s="15" t="inlineStr"/>
      <c r="G118" s="15" t="inlineStr"/>
      <c r="H118" s="15" t="inlineStr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</row>
    <row r="120">
      <c r="A120" s="19" t="inlineStr">
        <is>
          <t>*MacKinnon (1996) one-sided p-values.</t>
        </is>
      </c>
      <c r="B120" s="8" t="n"/>
      <c r="C120" s="8" t="n"/>
      <c r="D120" s="8" t="n"/>
      <c r="E120" s="8" t="n"/>
      <c r="F120" s="8" t="n"/>
      <c r="G120" s="8" t="n"/>
      <c r="H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</row>
    <row r="122" ht="18" customHeight="1">
      <c r="A122" s="7" t="inlineStr">
        <is>
          <t xml:space="preserve">  D. PHILLIPS-PERRON TEST — 1ST DIFFERENCE</t>
        </is>
      </c>
    </row>
    <row r="123" ht="16" customHeight="1">
      <c r="A123" s="16" t="inlineStr">
        <is>
          <t xml:space="preserve">  PP — 1st Difference | Exogenous: Intercept</t>
        </is>
      </c>
    </row>
    <row r="124">
      <c r="A124" s="17" t="inlineStr">
        <is>
          <t>Null Hypothesis:</t>
        </is>
      </c>
      <c r="B124" s="18" t="inlineStr">
        <is>
          <t>Series has a unit root (Intercept)</t>
        </is>
      </c>
      <c r="C124" s="8" t="n"/>
      <c r="D124" s="8" t="n"/>
      <c r="E124" s="8" t="n"/>
      <c r="F124" s="8" t="n"/>
      <c r="G124" s="8" t="n"/>
      <c r="H124" s="8" t="n"/>
    </row>
    <row r="125">
      <c r="A125" s="17" t="inlineStr">
        <is>
          <t>Bandwidth:</t>
        </is>
      </c>
      <c r="B125" s="18" t="inlineStr">
        <is>
          <t>2 (Newey-West automatic) using Bartlett kernel</t>
        </is>
      </c>
      <c r="C125" s="8" t="n"/>
      <c r="D125" s="8" t="n"/>
      <c r="E125" s="8" t="n"/>
      <c r="F125" s="8" t="n"/>
      <c r="G125" s="8" t="n"/>
      <c r="H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</row>
    <row r="127" ht="16" customHeight="1">
      <c r="A127" s="9" t="inlineStr"/>
      <c r="B127" s="9" t="inlineStr"/>
      <c r="C127" s="9" t="inlineStr">
        <is>
          <t>Adj. t-Stat</t>
        </is>
      </c>
      <c r="D127" s="9" t="inlineStr">
        <is>
          <t>Prob.*</t>
        </is>
      </c>
      <c r="E127" s="9" t="inlineStr"/>
      <c r="F127" s="9" t="inlineStr"/>
      <c r="G127" s="9" t="inlineStr"/>
      <c r="H127" s="9" t="inlineStr"/>
    </row>
    <row r="128">
      <c r="A128" s="15" t="inlineStr">
        <is>
          <t>Phillips-Perron test statistic</t>
        </is>
      </c>
      <c r="B128" s="15" t="inlineStr"/>
      <c r="C128" s="13" t="n">
        <v>-14.86748</v>
      </c>
      <c r="D128" s="13" t="n">
        <v>0</v>
      </c>
      <c r="E128" s="15" t="inlineStr"/>
      <c r="F128" s="15" t="inlineStr"/>
      <c r="G128" s="15" t="inlineStr"/>
      <c r="H128" s="15" t="inlineStr"/>
    </row>
    <row r="129" ht="16" customHeight="1">
      <c r="A129" s="16" t="inlineStr">
        <is>
          <t xml:space="preserve">  Test Critical Values:</t>
        </is>
      </c>
    </row>
    <row r="130">
      <c r="A130" s="15" t="inlineStr">
        <is>
          <t xml:space="preserve">  1% level</t>
        </is>
      </c>
      <c r="B130" s="15" t="inlineStr"/>
      <c r="C130" s="13" t="n">
        <v>-3.752928</v>
      </c>
      <c r="D130" s="15" t="inlineStr"/>
      <c r="E130" s="15" t="inlineStr"/>
      <c r="F130" s="15" t="inlineStr"/>
      <c r="G130" s="15" t="inlineStr"/>
      <c r="H130" s="15" t="inlineStr"/>
    </row>
    <row r="131">
      <c r="A131" s="15" t="inlineStr">
        <is>
          <t xml:space="preserve">  5% level</t>
        </is>
      </c>
      <c r="B131" s="15" t="inlineStr"/>
      <c r="C131" s="13" t="n">
        <v>-2.9985</v>
      </c>
      <c r="D131" s="15" t="inlineStr"/>
      <c r="E131" s="15" t="inlineStr"/>
      <c r="F131" s="15" t="inlineStr"/>
      <c r="G131" s="15" t="inlineStr"/>
      <c r="H131" s="15" t="inlineStr"/>
    </row>
    <row r="132">
      <c r="A132" s="15" t="inlineStr">
        <is>
          <t xml:space="preserve">  10% level</t>
        </is>
      </c>
      <c r="B132" s="15" t="inlineStr"/>
      <c r="C132" s="13" t="n">
        <v>-2.638967</v>
      </c>
      <c r="D132" s="15" t="inlineStr"/>
      <c r="E132" s="15" t="inlineStr"/>
      <c r="F132" s="15" t="inlineStr"/>
      <c r="G132" s="15" t="inlineStr"/>
      <c r="H132" s="15" t="inlineStr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</row>
    <row r="134">
      <c r="A134" s="19" t="inlineStr">
        <is>
          <t>*MacKinnon (1996) one-sided p-values.</t>
        </is>
      </c>
      <c r="B134" s="8" t="n"/>
      <c r="C134" s="8" t="n"/>
      <c r="D134" s="8" t="n"/>
      <c r="E134" s="8" t="n"/>
      <c r="F134" s="8" t="n"/>
      <c r="G134" s="8" t="n"/>
      <c r="H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</row>
    <row r="136" ht="16" customHeight="1">
      <c r="A136" s="16" t="inlineStr">
        <is>
          <t xml:space="preserve">  PP — 1st Difference | Exogenous: Trend and Intercept</t>
        </is>
      </c>
    </row>
    <row r="137">
      <c r="A137" s="17" t="inlineStr">
        <is>
          <t>Null Hypothesis:</t>
        </is>
      </c>
      <c r="B137" s="18" t="inlineStr">
        <is>
          <t>Series has a unit root (Trend and Intercept)</t>
        </is>
      </c>
      <c r="C137" s="8" t="n"/>
      <c r="D137" s="8" t="n"/>
      <c r="E137" s="8" t="n"/>
      <c r="F137" s="8" t="n"/>
      <c r="G137" s="8" t="n"/>
      <c r="H137" s="8" t="n"/>
    </row>
    <row r="138">
      <c r="A138" s="17" t="inlineStr">
        <is>
          <t>Bandwidth:</t>
        </is>
      </c>
      <c r="B138" s="18" t="inlineStr">
        <is>
          <t>2 (Newey-West automatic) using Bartlett kernel</t>
        </is>
      </c>
      <c r="C138" s="8" t="n"/>
      <c r="D138" s="8" t="n"/>
      <c r="E138" s="8" t="n"/>
      <c r="F138" s="8" t="n"/>
      <c r="G138" s="8" t="n"/>
      <c r="H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</row>
    <row r="140" ht="16" customHeight="1">
      <c r="A140" s="9" t="inlineStr"/>
      <c r="B140" s="9" t="inlineStr"/>
      <c r="C140" s="9" t="inlineStr">
        <is>
          <t>Adj. t-Stat</t>
        </is>
      </c>
      <c r="D140" s="9" t="inlineStr">
        <is>
          <t>Prob.*</t>
        </is>
      </c>
      <c r="E140" s="9" t="inlineStr"/>
      <c r="F140" s="9" t="inlineStr"/>
      <c r="G140" s="9" t="inlineStr"/>
      <c r="H140" s="9" t="inlineStr"/>
    </row>
    <row r="141">
      <c r="A141" s="15" t="inlineStr">
        <is>
          <t>Phillips-Perron test statistic</t>
        </is>
      </c>
      <c r="B141" s="15" t="inlineStr"/>
      <c r="C141" s="13" t="n">
        <v>-14.439478</v>
      </c>
      <c r="D141" s="13" t="n">
        <v>0</v>
      </c>
      <c r="E141" s="15" t="inlineStr"/>
      <c r="F141" s="15" t="inlineStr"/>
      <c r="G141" s="15" t="inlineStr"/>
      <c r="H141" s="15" t="inlineStr"/>
    </row>
    <row r="142" ht="16" customHeight="1">
      <c r="A142" s="16" t="inlineStr">
        <is>
          <t xml:space="preserve">  Test Critical Values:</t>
        </is>
      </c>
    </row>
    <row r="143">
      <c r="A143" s="15" t="inlineStr">
        <is>
          <t xml:space="preserve">  1% level</t>
        </is>
      </c>
      <c r="B143" s="15" t="inlineStr"/>
      <c r="C143" s="13" t="n">
        <v>-4.417148</v>
      </c>
      <c r="D143" s="15" t="inlineStr"/>
      <c r="E143" s="15" t="inlineStr"/>
      <c r="F143" s="15" t="inlineStr"/>
      <c r="G143" s="15" t="inlineStr"/>
      <c r="H143" s="15" t="inlineStr"/>
    </row>
    <row r="144">
      <c r="A144" s="15" t="inlineStr">
        <is>
          <t xml:space="preserve">  5% level</t>
        </is>
      </c>
      <c r="B144" s="15" t="inlineStr"/>
      <c r="C144" s="13" t="n">
        <v>-3.622188</v>
      </c>
      <c r="D144" s="15" t="inlineStr"/>
      <c r="E144" s="15" t="inlineStr"/>
      <c r="F144" s="15" t="inlineStr"/>
      <c r="G144" s="15" t="inlineStr"/>
      <c r="H144" s="15" t="inlineStr"/>
    </row>
    <row r="145">
      <c r="A145" s="15" t="inlineStr">
        <is>
          <t xml:space="preserve">  10% level</t>
        </is>
      </c>
      <c r="B145" s="15" t="inlineStr"/>
      <c r="C145" s="13" t="n">
        <v>-3.248726</v>
      </c>
      <c r="D145" s="15" t="inlineStr"/>
      <c r="E145" s="15" t="inlineStr"/>
      <c r="F145" s="15" t="inlineStr"/>
      <c r="G145" s="15" t="inlineStr"/>
      <c r="H145" s="15" t="inlineStr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</row>
    <row r="147">
      <c r="A147" s="19" t="inlineStr">
        <is>
          <t>*MacKinnon (1996) one-sided p-values.</t>
        </is>
      </c>
      <c r="B147" s="8" t="n"/>
      <c r="C147" s="8" t="n"/>
      <c r="D147" s="8" t="n"/>
      <c r="E147" s="8" t="n"/>
      <c r="F147" s="8" t="n"/>
      <c r="G147" s="8" t="n"/>
      <c r="H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</row>
    <row r="149" ht="16" customHeight="1">
      <c r="A149" s="16" t="inlineStr">
        <is>
          <t xml:space="preserve">  PP — 1st Difference | Exogenous: None</t>
        </is>
      </c>
    </row>
    <row r="150">
      <c r="A150" s="17" t="inlineStr">
        <is>
          <t>Null Hypothesis:</t>
        </is>
      </c>
      <c r="B150" s="18" t="inlineStr">
        <is>
          <t>Series has a unit root (None)</t>
        </is>
      </c>
      <c r="C150" s="8" t="n"/>
      <c r="D150" s="8" t="n"/>
      <c r="E150" s="8" t="n"/>
      <c r="F150" s="8" t="n"/>
      <c r="G150" s="8" t="n"/>
      <c r="H150" s="8" t="n"/>
    </row>
    <row r="151">
      <c r="A151" s="17" t="inlineStr">
        <is>
          <t>Bandwidth:</t>
        </is>
      </c>
      <c r="B151" s="18" t="inlineStr">
        <is>
          <t>2 (Newey-West automatic) using Bartlett kernel</t>
        </is>
      </c>
      <c r="C151" s="8" t="n"/>
      <c r="D151" s="8" t="n"/>
      <c r="E151" s="8" t="n"/>
      <c r="F151" s="8" t="n"/>
      <c r="G151" s="8" t="n"/>
      <c r="H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</row>
    <row r="153" ht="16" customHeight="1">
      <c r="A153" s="9" t="inlineStr"/>
      <c r="B153" s="9" t="inlineStr"/>
      <c r="C153" s="9" t="inlineStr">
        <is>
          <t>Adj. t-Stat</t>
        </is>
      </c>
      <c r="D153" s="9" t="inlineStr">
        <is>
          <t>Prob.*</t>
        </is>
      </c>
      <c r="E153" s="9" t="inlineStr"/>
      <c r="F153" s="9" t="inlineStr"/>
      <c r="G153" s="9" t="inlineStr"/>
      <c r="H153" s="9" t="inlineStr"/>
    </row>
    <row r="154">
      <c r="A154" s="15" t="inlineStr">
        <is>
          <t>Phillips-Perron test statistic</t>
        </is>
      </c>
      <c r="B154" s="15" t="inlineStr"/>
      <c r="C154" s="13" t="n">
        <v>-14.830669</v>
      </c>
      <c r="D154" s="13" t="n">
        <v>0</v>
      </c>
      <c r="E154" s="15" t="inlineStr"/>
      <c r="F154" s="15" t="inlineStr"/>
      <c r="G154" s="15" t="inlineStr"/>
      <c r="H154" s="15" t="inlineStr"/>
    </row>
    <row r="155" ht="16" customHeight="1">
      <c r="A155" s="16" t="inlineStr">
        <is>
          <t xml:space="preserve">  Test Critical Values:</t>
        </is>
      </c>
    </row>
    <row r="156">
      <c r="A156" s="15" t="inlineStr">
        <is>
          <t xml:space="preserve">  1% level</t>
        </is>
      </c>
      <c r="B156" s="15" t="inlineStr"/>
      <c r="C156" s="13" t="n">
        <v>-2.669805</v>
      </c>
      <c r="D156" s="15" t="inlineStr"/>
      <c r="E156" s="15" t="inlineStr"/>
      <c r="F156" s="15" t="inlineStr"/>
      <c r="G156" s="15" t="inlineStr"/>
      <c r="H156" s="15" t="inlineStr"/>
    </row>
    <row r="157">
      <c r="A157" s="15" t="inlineStr">
        <is>
          <t xml:space="preserve">  5% level</t>
        </is>
      </c>
      <c r="B157" s="15" t="inlineStr"/>
      <c r="C157" s="13" t="n">
        <v>-1.956473</v>
      </c>
      <c r="D157" s="15" t="inlineStr"/>
      <c r="E157" s="15" t="inlineStr"/>
      <c r="F157" s="15" t="inlineStr"/>
      <c r="G157" s="15" t="inlineStr"/>
      <c r="H157" s="15" t="inlineStr"/>
    </row>
    <row r="158">
      <c r="A158" s="15" t="inlineStr">
        <is>
          <t xml:space="preserve">  10% level</t>
        </is>
      </c>
      <c r="B158" s="15" t="inlineStr"/>
      <c r="C158" s="13" t="n">
        <v>-1.608318</v>
      </c>
      <c r="D158" s="15" t="inlineStr"/>
      <c r="E158" s="15" t="inlineStr"/>
      <c r="F158" s="15" t="inlineStr"/>
      <c r="G158" s="15" t="inlineStr"/>
      <c r="H158" s="15" t="inlineStr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</row>
    <row r="160">
      <c r="A160" s="19" t="inlineStr">
        <is>
          <t>*MacKinnon (1996) one-sided p-values.</t>
        </is>
      </c>
      <c r="B160" s="8" t="n"/>
      <c r="C160" s="8" t="n"/>
      <c r="D160" s="8" t="n"/>
      <c r="E160" s="8" t="n"/>
      <c r="F160" s="8" t="n"/>
      <c r="G160" s="8" t="n"/>
      <c r="H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</row>
  </sheetData>
  <mergeCells count="29">
    <mergeCell ref="A83:H83"/>
    <mergeCell ref="A22:D22"/>
    <mergeCell ref="A35:D35"/>
    <mergeCell ref="A62:D62"/>
    <mergeCell ref="A82:H82"/>
    <mergeCell ref="A1:H1"/>
    <mergeCell ref="A115:D115"/>
    <mergeCell ref="A123:H123"/>
    <mergeCell ref="A155:D155"/>
    <mergeCell ref="A102:D102"/>
    <mergeCell ref="A9:D9"/>
    <mergeCell ref="A69:H69"/>
    <mergeCell ref="A16:H16"/>
    <mergeCell ref="A142:D142"/>
    <mergeCell ref="A49:D49"/>
    <mergeCell ref="A149:H149"/>
    <mergeCell ref="A56:H56"/>
    <mergeCell ref="A3:H3"/>
    <mergeCell ref="A136:H136"/>
    <mergeCell ref="A2:H2"/>
    <mergeCell ref="A42:H42"/>
    <mergeCell ref="A75:D75"/>
    <mergeCell ref="A122:H122"/>
    <mergeCell ref="A89:D89"/>
    <mergeCell ref="A109:H109"/>
    <mergeCell ref="A29:H29"/>
    <mergeCell ref="A43:H43"/>
    <mergeCell ref="A96:H96"/>
    <mergeCell ref="A129:D1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7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18" customHeight="1">
      <c r="A1" s="7" t="inlineStr">
        <is>
          <t xml:space="preserve">  CORRELOGRAM — EViews Output</t>
        </is>
      </c>
    </row>
    <row r="2" ht="18" customHeight="1">
      <c r="A2" s="7" t="inlineStr">
        <is>
          <t xml:space="preserve">  CORRELOGRAM — LEVEL (MALARIA DEATHS)</t>
        </is>
      </c>
    </row>
    <row r="3">
      <c r="A3" s="20" t="inlineStr">
        <is>
          <t xml:space="preserve">  Sample: 2000  2024    Included observations: 25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</row>
    <row r="5" ht="16" customHeight="1">
      <c r="A5" s="9" t="inlineStr"/>
      <c r="B5" s="9" t="inlineStr">
        <is>
          <t>AC Bar</t>
        </is>
      </c>
      <c r="C5" s="9" t="inlineStr">
        <is>
          <t>PAC Bar</t>
        </is>
      </c>
      <c r="D5" s="9" t="inlineStr">
        <is>
          <t>Lag</t>
        </is>
      </c>
      <c r="E5" s="9" t="inlineStr">
        <is>
          <t>AC</t>
        </is>
      </c>
      <c r="F5" s="9" t="inlineStr">
        <is>
          <t>PAC</t>
        </is>
      </c>
      <c r="G5" s="9" t="inlineStr">
        <is>
          <t>Q-Stat</t>
        </is>
      </c>
      <c r="H5" s="9" t="inlineStr">
        <is>
          <t>Prob</t>
        </is>
      </c>
    </row>
    <row r="6">
      <c r="A6" s="21" t="inlineStr"/>
      <c r="B6" s="22" t="inlineStr">
        <is>
          <t>|               ███|</t>
        </is>
      </c>
      <c r="C6" s="22" t="inlineStr">
        <is>
          <t>|               ███|</t>
        </is>
      </c>
      <c r="D6" s="21" t="n">
        <v>1</v>
      </c>
      <c r="E6" s="21" t="n">
        <v>-0.16</v>
      </c>
      <c r="F6" s="21" t="n">
        <v>-0.167</v>
      </c>
      <c r="G6" s="21" t="n">
        <v>0.7195</v>
      </c>
      <c r="H6" s="21" t="n">
        <v>0.3963</v>
      </c>
    </row>
    <row r="7">
      <c r="A7" s="23" t="inlineStr"/>
      <c r="B7" s="24" t="inlineStr">
        <is>
          <t>|                  |</t>
        </is>
      </c>
      <c r="C7" s="24" t="inlineStr">
        <is>
          <t>|                  |</t>
        </is>
      </c>
      <c r="D7" s="23" t="n">
        <v>2</v>
      </c>
      <c r="E7" s="23" t="n">
        <v>0.01</v>
      </c>
      <c r="F7" s="23" t="n">
        <v>-0.018</v>
      </c>
      <c r="G7" s="23" t="n">
        <v>0.7224</v>
      </c>
      <c r="H7" s="23" t="n">
        <v>0.6969</v>
      </c>
    </row>
    <row r="8">
      <c r="A8" s="21" t="inlineStr"/>
      <c r="B8" s="22" t="inlineStr">
        <is>
          <t>|█████             |</t>
        </is>
      </c>
      <c r="C8" s="22" t="inlineStr">
        <is>
          <t>|██████            |</t>
        </is>
      </c>
      <c r="D8" s="21" t="n">
        <v>3</v>
      </c>
      <c r="E8" s="21" t="n">
        <v>0.269</v>
      </c>
      <c r="F8" s="21" t="n">
        <v>0.313</v>
      </c>
      <c r="G8" s="21" t="n">
        <v>2.9369</v>
      </c>
      <c r="H8" s="21" t="n">
        <v>0.4015</v>
      </c>
    </row>
    <row r="9">
      <c r="A9" s="23" t="inlineStr"/>
      <c r="B9" s="24" t="inlineStr">
        <is>
          <t>|███               |</t>
        </is>
      </c>
      <c r="C9" s="24" t="inlineStr">
        <is>
          <t>|██████            |</t>
        </is>
      </c>
      <c r="D9" s="23" t="n">
        <v>4</v>
      </c>
      <c r="E9" s="23" t="n">
        <v>0.178</v>
      </c>
      <c r="F9" s="23" t="n">
        <v>0.358</v>
      </c>
      <c r="G9" s="23" t="n">
        <v>3.9545</v>
      </c>
      <c r="H9" s="23" t="n">
        <v>0.4122</v>
      </c>
    </row>
    <row r="10">
      <c r="A10" s="21" t="inlineStr"/>
      <c r="B10" s="22" t="inlineStr">
        <is>
          <t>|██                |</t>
        </is>
      </c>
      <c r="C10" s="22" t="inlineStr">
        <is>
          <t>|██████            |</t>
        </is>
      </c>
      <c r="D10" s="21" t="n">
        <v>5</v>
      </c>
      <c r="E10" s="21" t="n">
        <v>0.116</v>
      </c>
      <c r="F10" s="21" t="n">
        <v>0.33</v>
      </c>
      <c r="G10" s="21" t="n">
        <v>4.4086</v>
      </c>
      <c r="H10" s="21" t="n">
        <v>0.4922</v>
      </c>
    </row>
    <row r="11">
      <c r="A11" s="23" t="inlineStr"/>
      <c r="B11" s="24" t="inlineStr">
        <is>
          <t>|█                 |</t>
        </is>
      </c>
      <c r="C11" s="24" t="inlineStr">
        <is>
          <t>|███               |</t>
        </is>
      </c>
      <c r="D11" s="23" t="n">
        <v>6</v>
      </c>
      <c r="E11" s="23" t="n">
        <v>0.064</v>
      </c>
      <c r="F11" s="23" t="n">
        <v>0.149</v>
      </c>
      <c r="G11" s="23" t="n">
        <v>4.5543</v>
      </c>
      <c r="H11" s="23" t="n">
        <v>0.6021</v>
      </c>
    </row>
    <row r="12">
      <c r="A12" s="21" t="inlineStr"/>
      <c r="B12" s="22" t="inlineStr">
        <is>
          <t>|             █████|</t>
        </is>
      </c>
      <c r="C12" s="22" t="inlineStr">
        <is>
          <t>|     █████████████|</t>
        </is>
      </c>
      <c r="D12" s="21" t="n">
        <v>7</v>
      </c>
      <c r="E12" s="21" t="n">
        <v>-0.268</v>
      </c>
      <c r="F12" s="21" t="n">
        <v>-0.745</v>
      </c>
      <c r="G12" s="21" t="n">
        <v>7.2389</v>
      </c>
      <c r="H12" s="21" t="n">
        <v>0.4044</v>
      </c>
    </row>
    <row r="13">
      <c r="A13" s="23" t="inlineStr"/>
      <c r="B13" s="24" t="inlineStr">
        <is>
          <t>|████████          |</t>
        </is>
      </c>
      <c r="C13" s="24" t="inlineStr">
        <is>
          <t>|███               |</t>
        </is>
      </c>
      <c r="D13" s="23" t="n">
        <v>8</v>
      </c>
      <c r="E13" s="23" t="n">
        <v>0.428</v>
      </c>
      <c r="F13" s="23" t="n">
        <v>0.17</v>
      </c>
      <c r="G13" s="23" t="n">
        <v>14.5047</v>
      </c>
      <c r="H13" s="23" t="n">
        <v>0.06950000000000001</v>
      </c>
    </row>
    <row r="14">
      <c r="A14" s="21" t="inlineStr"/>
      <c r="B14" s="22" t="inlineStr">
        <is>
          <t>|                ██|</t>
        </is>
      </c>
      <c r="C14" s="22" t="inlineStr">
        <is>
          <t>|              ████|</t>
        </is>
      </c>
      <c r="D14" s="21" t="n">
        <v>9</v>
      </c>
      <c r="E14" s="21" t="n">
        <v>-0.119</v>
      </c>
      <c r="F14" s="21" t="n">
        <v>-0.243</v>
      </c>
      <c r="G14" s="21" t="n">
        <v>15.104</v>
      </c>
      <c r="H14" s="21" t="n">
        <v>0.0881</v>
      </c>
    </row>
    <row r="15">
      <c r="A15" s="23" t="inlineStr"/>
      <c r="B15" s="24" t="inlineStr">
        <is>
          <t>|               ███|</t>
        </is>
      </c>
      <c r="C15" s="24" t="inlineStr">
        <is>
          <t>|                  |</t>
        </is>
      </c>
      <c r="D15" s="23" t="n">
        <v>10</v>
      </c>
      <c r="E15" s="23" t="n">
        <v>-0.161</v>
      </c>
      <c r="F15" s="23" t="n">
        <v>-0.027</v>
      </c>
      <c r="G15" s="23" t="n">
        <v>16.2699</v>
      </c>
      <c r="H15" s="23" t="n">
        <v>0.0922</v>
      </c>
    </row>
    <row r="16">
      <c r="A16" s="21" t="inlineStr"/>
      <c r="B16" s="22" t="inlineStr">
        <is>
          <t>|                 █|</t>
        </is>
      </c>
      <c r="C16" s="22" t="inlineStr">
        <is>
          <t>|    ██████████████|</t>
        </is>
      </c>
      <c r="D16" s="21" t="n">
        <v>11</v>
      </c>
      <c r="E16" s="21" t="n">
        <v>-0.07099999999999999</v>
      </c>
      <c r="F16" s="21" t="n">
        <v>-0.785</v>
      </c>
      <c r="G16" s="21" t="n">
        <v>16.5121</v>
      </c>
      <c r="H16" s="21" t="n">
        <v>0.1232</v>
      </c>
    </row>
    <row r="17">
      <c r="A17" s="23" t="inlineStr"/>
      <c r="B17" s="24" t="inlineStr">
        <is>
          <t>|                  |</t>
        </is>
      </c>
      <c r="C17" s="24" t="inlineStr">
        <is>
          <t>|          ████████|</t>
        </is>
      </c>
      <c r="D17" s="23" t="n">
        <v>12</v>
      </c>
      <c r="E17" s="23" t="n">
        <v>0.023</v>
      </c>
      <c r="F17" s="23" t="n">
        <v>-0.46</v>
      </c>
      <c r="G17" s="23" t="n">
        <v>16.5389</v>
      </c>
      <c r="H17" s="23" t="n">
        <v>0.1678</v>
      </c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 ht="18" customHeight="1">
      <c r="A19" s="7" t="inlineStr">
        <is>
          <t xml:space="preserve">  CORRELOGRAM — 1ST DIFFERENCE</t>
        </is>
      </c>
    </row>
    <row r="20">
      <c r="A20" s="20" t="inlineStr">
        <is>
          <t xml:space="preserve">  Sample: 2001  2024    Included observations: 24</t>
        </is>
      </c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 ht="16" customHeight="1">
      <c r="A22" s="9" t="inlineStr"/>
      <c r="B22" s="9" t="inlineStr">
        <is>
          <t>AC Bar</t>
        </is>
      </c>
      <c r="C22" s="9" t="inlineStr">
        <is>
          <t>PAC Bar</t>
        </is>
      </c>
      <c r="D22" s="9" t="inlineStr">
        <is>
          <t>Lag</t>
        </is>
      </c>
      <c r="E22" s="9" t="inlineStr">
        <is>
          <t>AC</t>
        </is>
      </c>
      <c r="F22" s="9" t="inlineStr">
        <is>
          <t>PAC</t>
        </is>
      </c>
      <c r="G22" s="9" t="inlineStr">
        <is>
          <t>Q-Stat</t>
        </is>
      </c>
      <c r="H22" s="9" t="inlineStr">
        <is>
          <t>Prob</t>
        </is>
      </c>
    </row>
    <row r="23">
      <c r="A23" s="21" t="inlineStr"/>
      <c r="B23" s="22" t="inlineStr">
        <is>
          <t>|       ███████████|</t>
        </is>
      </c>
      <c r="C23" s="22" t="inlineStr">
        <is>
          <t>|       ███████████|</t>
        </is>
      </c>
      <c r="D23" s="21" t="n">
        <v>1</v>
      </c>
      <c r="E23" s="21" t="n">
        <v>-0.587</v>
      </c>
      <c r="F23" s="21" t="n">
        <v>-0.613</v>
      </c>
      <c r="G23" s="21" t="n">
        <v>9.3504</v>
      </c>
      <c r="H23" s="21" t="n">
        <v>0.0022</v>
      </c>
    </row>
    <row r="24">
      <c r="A24" s="23" t="inlineStr"/>
      <c r="B24" s="24" t="inlineStr">
        <is>
          <t>|                 █|</t>
        </is>
      </c>
      <c r="C24" s="24" t="inlineStr">
        <is>
          <t>|      ████████████|</t>
        </is>
      </c>
      <c r="D24" s="23" t="n">
        <v>2</v>
      </c>
      <c r="E24" s="23" t="n">
        <v>-0.031</v>
      </c>
      <c r="F24" s="23" t="n">
        <v>-0.655</v>
      </c>
      <c r="G24" s="23" t="n">
        <v>9.377800000000001</v>
      </c>
      <c r="H24" s="23" t="n">
        <v>0.0092</v>
      </c>
    </row>
    <row r="25">
      <c r="A25" s="21" t="inlineStr"/>
      <c r="B25" s="22" t="inlineStr">
        <is>
          <t>|███               |</t>
        </is>
      </c>
      <c r="C25" s="22" t="inlineStr">
        <is>
          <t>|     █████████████|</t>
        </is>
      </c>
      <c r="D25" s="21" t="n">
        <v>3</v>
      </c>
      <c r="E25" s="21" t="n">
        <v>0.158</v>
      </c>
      <c r="F25" s="21" t="n">
        <v>-0.715</v>
      </c>
      <c r="G25" s="21" t="n">
        <v>10.1196</v>
      </c>
      <c r="H25" s="21" t="n">
        <v>0.0176</v>
      </c>
    </row>
    <row r="26">
      <c r="A26" s="23" t="inlineStr"/>
      <c r="B26" s="24" t="inlineStr">
        <is>
          <t>|                  |</t>
        </is>
      </c>
      <c r="C26" s="24" t="inlineStr">
        <is>
          <t>|██████████████████|</t>
        </is>
      </c>
      <c r="D26" s="23" t="n">
        <v>4</v>
      </c>
      <c r="E26" s="23" t="n">
        <v>-0.004</v>
      </c>
      <c r="F26" s="23" t="n">
        <v>-1.277</v>
      </c>
      <c r="G26" s="23" t="n">
        <v>10.1202</v>
      </c>
      <c r="H26" s="23" t="n">
        <v>0.0385</v>
      </c>
    </row>
    <row r="27">
      <c r="A27" s="21" t="inlineStr"/>
      <c r="B27" s="22" t="inlineStr">
        <is>
          <t>|                 █|</t>
        </is>
      </c>
      <c r="C27" s="22" t="inlineStr">
        <is>
          <t>|██████████████████|</t>
        </is>
      </c>
      <c r="D27" s="21" t="n">
        <v>5</v>
      </c>
      <c r="E27" s="21" t="n">
        <v>-0.039</v>
      </c>
      <c r="F27" s="21" t="n">
        <v>3.325</v>
      </c>
      <c r="G27" s="21" t="n">
        <v>10.1709</v>
      </c>
      <c r="H27" s="21" t="n">
        <v>0.07049999999999999</v>
      </c>
    </row>
    <row r="28">
      <c r="A28" s="23" t="inlineStr"/>
      <c r="B28" s="24" t="inlineStr">
        <is>
          <t>|██                |</t>
        </is>
      </c>
      <c r="C28" s="24" t="inlineStr">
        <is>
          <t>|██████████████████|</t>
        </is>
      </c>
      <c r="D28" s="23" t="n">
        <v>6</v>
      </c>
      <c r="E28" s="23" t="n">
        <v>0.122</v>
      </c>
      <c r="F28" s="23" t="n">
        <v>1.023</v>
      </c>
      <c r="G28" s="23" t="n">
        <v>10.6887</v>
      </c>
      <c r="H28" s="23" t="n">
        <v>0.0985</v>
      </c>
    </row>
    <row r="29">
      <c r="A29" s="21" t="inlineStr"/>
      <c r="B29" s="22" t="inlineStr">
        <is>
          <t>|           ███████|</t>
        </is>
      </c>
      <c r="C29" s="22" t="inlineStr">
        <is>
          <t>|██████████████████|</t>
        </is>
      </c>
      <c r="D29" s="21" t="n">
        <v>7</v>
      </c>
      <c r="E29" s="21" t="n">
        <v>-0.404</v>
      </c>
      <c r="F29" s="21" t="n">
        <v>-2.034</v>
      </c>
      <c r="G29" s="21" t="n">
        <v>16.6908</v>
      </c>
      <c r="H29" s="21" t="n">
        <v>0.0195</v>
      </c>
    </row>
    <row r="30">
      <c r="A30" s="23" t="inlineStr"/>
      <c r="B30" s="24" t="inlineStr">
        <is>
          <t>|█████████         |</t>
        </is>
      </c>
      <c r="C30" s="24" t="inlineStr">
        <is>
          <t>|██████████████████|</t>
        </is>
      </c>
      <c r="D30" s="23" t="n">
        <v>8</v>
      </c>
      <c r="E30" s="23" t="n">
        <v>0.508</v>
      </c>
      <c r="F30" s="23" t="n">
        <v>-1.184</v>
      </c>
      <c r="G30" s="23" t="n">
        <v>26.7694</v>
      </c>
      <c r="H30" s="23" t="n">
        <v>0.0008</v>
      </c>
    </row>
    <row r="31">
      <c r="A31" s="21" t="inlineStr"/>
      <c r="B31" s="22" t="inlineStr">
        <is>
          <t>|              ████|</t>
        </is>
      </c>
      <c r="C31" s="22" t="inlineStr">
        <is>
          <t>|██████████████████|</t>
        </is>
      </c>
      <c r="D31" s="21" t="n">
        <v>9</v>
      </c>
      <c r="E31" s="21" t="n">
        <v>-0.248</v>
      </c>
      <c r="F31" s="21" t="n">
        <v>3.377</v>
      </c>
      <c r="G31" s="21" t="n">
        <v>29.3368</v>
      </c>
      <c r="H31" s="21" t="n">
        <v>0.0005999999999999999</v>
      </c>
    </row>
    <row r="32">
      <c r="A32" s="23" t="inlineStr"/>
      <c r="B32" s="24" t="inlineStr">
        <is>
          <t>|                  |</t>
        </is>
      </c>
      <c r="C32" s="24" t="inlineStr">
        <is>
          <t>|██████████████████|</t>
        </is>
      </c>
      <c r="D32" s="23" t="n">
        <v>10</v>
      </c>
      <c r="E32" s="23" t="n">
        <v>-0</v>
      </c>
      <c r="F32" s="23" t="n">
        <v>1.048</v>
      </c>
      <c r="G32" s="23" t="n">
        <v>29.3368</v>
      </c>
      <c r="H32" s="23" t="n">
        <v>0.0011</v>
      </c>
    </row>
    <row r="33">
      <c r="A33" s="21" t="inlineStr"/>
      <c r="B33" s="22" t="inlineStr">
        <is>
          <t>|                 █|</t>
        </is>
      </c>
      <c r="C33" s="22" t="inlineStr">
        <is>
          <t>|██████████████████|</t>
        </is>
      </c>
      <c r="D33" s="21" t="n">
        <v>11</v>
      </c>
      <c r="E33" s="21" t="n">
        <v>-0.03</v>
      </c>
      <c r="F33" s="21" t="n">
        <v>-1.318</v>
      </c>
      <c r="G33" s="21" t="n">
        <v>29.379</v>
      </c>
      <c r="H33" s="21" t="n">
        <v>0.002</v>
      </c>
    </row>
    <row r="34">
      <c r="A34" s="23" t="inlineStr"/>
      <c r="B34" s="24" t="inlineStr">
        <is>
          <t>|██                |</t>
        </is>
      </c>
      <c r="C34" s="24" t="inlineStr">
        <is>
          <t>|██████████████████|</t>
        </is>
      </c>
      <c r="D34" s="23" t="n">
        <v>12</v>
      </c>
      <c r="E34" s="23" t="n">
        <v>0.097</v>
      </c>
      <c r="F34" s="23" t="n">
        <v>-1.11</v>
      </c>
      <c r="G34" s="23" t="n">
        <v>29.8721</v>
      </c>
      <c r="H34" s="23" t="n">
        <v>0.0029</v>
      </c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</sheetData>
  <mergeCells count="5">
    <mergeCell ref="A3:H3"/>
    <mergeCell ref="A20:H20"/>
    <mergeCell ref="A2:H2"/>
    <mergeCell ref="A19:H19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8" customWidth="1" min="7" max="7"/>
    <col width="8" customWidth="1" min="8" max="8"/>
  </cols>
  <sheetData>
    <row r="1" ht="18" customHeight="1">
      <c r="A1" s="7" t="inlineStr">
        <is>
          <t xml:space="preserve">  ARIMA MODEL SELECTION — AIC / BIC COMPARISON TABLE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</row>
    <row r="3" ht="16" customHeight="1">
      <c r="A3" s="9" t="inlineStr">
        <is>
          <t>Model</t>
        </is>
      </c>
      <c r="B3" s="9" t="inlineStr">
        <is>
          <t>Log-Likelihood</t>
        </is>
      </c>
      <c r="C3" s="9" t="inlineStr">
        <is>
          <t>AIC</t>
        </is>
      </c>
      <c r="D3" s="9" t="inlineStr">
        <is>
          <t>BIC</t>
        </is>
      </c>
      <c r="E3" s="9" t="inlineStr">
        <is>
          <t>AICc</t>
        </is>
      </c>
      <c r="F3" s="9" t="inlineStr">
        <is>
          <t>Rank (AIC)</t>
        </is>
      </c>
      <c r="G3" s="9" t="inlineStr"/>
      <c r="H3" s="9" t="inlineStr"/>
    </row>
    <row r="4">
      <c r="A4" s="25" t="inlineStr">
        <is>
          <t>ARIMA(0,1,2) ★ BEST</t>
        </is>
      </c>
      <c r="B4" s="26" t="n">
        <v>-85.1247</v>
      </c>
      <c r="C4" s="26" t="n">
        <v>176.2495</v>
      </c>
      <c r="D4" s="26" t="n">
        <v>179.7836</v>
      </c>
      <c r="E4" s="26" t="n">
        <v>177.3923</v>
      </c>
      <c r="F4" s="26" t="n">
        <v>1</v>
      </c>
      <c r="G4" s="27" t="inlineStr"/>
      <c r="H4" s="27" t="inlineStr"/>
    </row>
    <row r="5">
      <c r="A5" s="11" t="inlineStr">
        <is>
          <t>ARIMA(2,1,3)</t>
        </is>
      </c>
      <c r="B5" s="10" t="n">
        <v>-82.64190000000001</v>
      </c>
      <c r="C5" s="10" t="n">
        <v>177.2838</v>
      </c>
      <c r="D5" s="10" t="n">
        <v>184.3521</v>
      </c>
      <c r="E5" s="10" t="n">
        <v>181.9504</v>
      </c>
      <c r="F5" s="10" t="n">
        <v>2</v>
      </c>
      <c r="G5" s="11" t="inlineStr"/>
      <c r="H5" s="11" t="inlineStr"/>
    </row>
    <row r="6">
      <c r="A6" s="15" t="inlineStr">
        <is>
          <t>ARIMA(2,1,2)</t>
        </is>
      </c>
      <c r="B6" s="12" t="n">
        <v>-83.7872</v>
      </c>
      <c r="C6" s="12" t="n">
        <v>177.5744</v>
      </c>
      <c r="D6" s="12" t="n">
        <v>183.4647</v>
      </c>
      <c r="E6" s="12" t="n">
        <v>180.7323</v>
      </c>
      <c r="F6" s="12" t="n">
        <v>3</v>
      </c>
      <c r="G6" s="15" t="inlineStr"/>
      <c r="H6" s="15" t="inlineStr"/>
    </row>
    <row r="7">
      <c r="A7" s="11" t="inlineStr">
        <is>
          <t>ARIMA(0,1,3)</t>
        </is>
      </c>
      <c r="B7" s="10" t="n">
        <v>-85.11279999999999</v>
      </c>
      <c r="C7" s="10" t="n">
        <v>178.2256</v>
      </c>
      <c r="D7" s="10" t="n">
        <v>182.9378</v>
      </c>
      <c r="E7" s="10" t="n">
        <v>180.2256</v>
      </c>
      <c r="F7" s="10" t="n">
        <v>4</v>
      </c>
      <c r="G7" s="11" t="inlineStr"/>
      <c r="H7" s="11" t="inlineStr"/>
    </row>
    <row r="8">
      <c r="A8" s="15" t="inlineStr">
        <is>
          <t>ARIMA(3,1,2)</t>
        </is>
      </c>
      <c r="B8" s="12" t="n">
        <v>-83.1176</v>
      </c>
      <c r="C8" s="12" t="n">
        <v>178.2352</v>
      </c>
      <c r="D8" s="12" t="n">
        <v>185.3035</v>
      </c>
      <c r="E8" s="12" t="n">
        <v>182.9019</v>
      </c>
      <c r="F8" s="12" t="n">
        <v>5</v>
      </c>
      <c r="G8" s="15" t="inlineStr"/>
      <c r="H8" s="15" t="inlineStr"/>
    </row>
    <row r="9">
      <c r="A9" s="11" t="inlineStr">
        <is>
          <t>ARIMA(1,1,2)</t>
        </is>
      </c>
      <c r="B9" s="10" t="n">
        <v>-85.12050000000001</v>
      </c>
      <c r="C9" s="10" t="n">
        <v>178.2411</v>
      </c>
      <c r="D9" s="10" t="n">
        <v>182.9533</v>
      </c>
      <c r="E9" s="10" t="n">
        <v>180.2411</v>
      </c>
      <c r="F9" s="10" t="n">
        <v>6</v>
      </c>
      <c r="G9" s="11" t="inlineStr"/>
      <c r="H9" s="11" t="inlineStr"/>
    </row>
    <row r="10">
      <c r="A10" s="15" t="inlineStr">
        <is>
          <t>ARIMA(2,1,1)</t>
        </is>
      </c>
      <c r="B10" s="12" t="n">
        <v>-85.79170000000001</v>
      </c>
      <c r="C10" s="12" t="n">
        <v>179.5835</v>
      </c>
      <c r="D10" s="12" t="n">
        <v>184.2957</v>
      </c>
      <c r="E10" s="12" t="n">
        <v>181.5835</v>
      </c>
      <c r="F10" s="12" t="n">
        <v>7</v>
      </c>
      <c r="G10" s="15" t="inlineStr"/>
      <c r="H10" s="15" t="inlineStr"/>
    </row>
    <row r="11">
      <c r="A11" s="11" t="inlineStr">
        <is>
          <t>ARIMA(3,1,3)</t>
        </is>
      </c>
      <c r="B11" s="10" t="n">
        <v>-83.0223</v>
      </c>
      <c r="C11" s="10" t="n">
        <v>180.0447</v>
      </c>
      <c r="D11" s="10" t="n">
        <v>188.2911</v>
      </c>
      <c r="E11" s="10" t="n">
        <v>186.6329</v>
      </c>
      <c r="F11" s="10" t="n">
        <v>8</v>
      </c>
      <c r="G11" s="11" t="inlineStr"/>
      <c r="H11" s="11" t="inlineStr"/>
    </row>
    <row r="12">
      <c r="A12" s="15" t="inlineStr">
        <is>
          <t>ARIMA(1,1,3)</t>
        </is>
      </c>
      <c r="B12" s="12" t="n">
        <v>-85.0909</v>
      </c>
      <c r="C12" s="12" t="n">
        <v>180.1817</v>
      </c>
      <c r="D12" s="12" t="n">
        <v>186.072</v>
      </c>
      <c r="E12" s="12" t="n">
        <v>183.3396</v>
      </c>
      <c r="F12" s="12" t="n">
        <v>9</v>
      </c>
      <c r="G12" s="15" t="inlineStr"/>
      <c r="H12" s="15" t="inlineStr"/>
    </row>
    <row r="13">
      <c r="A13" s="11" t="inlineStr">
        <is>
          <t>ARIMA(3,1,0)</t>
        </is>
      </c>
      <c r="B13" s="10" t="n">
        <v>-86.0958</v>
      </c>
      <c r="C13" s="10" t="n">
        <v>180.1916</v>
      </c>
      <c r="D13" s="10" t="n">
        <v>184.9038</v>
      </c>
      <c r="E13" s="10" t="n">
        <v>182.1916</v>
      </c>
      <c r="F13" s="10" t="n">
        <v>10</v>
      </c>
      <c r="G13" s="11" t="inlineStr"/>
      <c r="H13" s="11" t="inlineStr"/>
    </row>
    <row r="14">
      <c r="A14" s="15" t="inlineStr">
        <is>
          <t>ARIMA(3,1,1)</t>
        </is>
      </c>
      <c r="B14" s="12" t="n">
        <v>-85.13460000000001</v>
      </c>
      <c r="C14" s="12" t="n">
        <v>180.2691</v>
      </c>
      <c r="D14" s="12" t="n">
        <v>186.1594</v>
      </c>
      <c r="E14" s="12" t="n">
        <v>183.427</v>
      </c>
      <c r="F14" s="12" t="n">
        <v>11</v>
      </c>
      <c r="G14" s="15" t="inlineStr"/>
      <c r="H14" s="15" t="inlineStr"/>
    </row>
    <row r="15">
      <c r="A15" s="11" t="inlineStr">
        <is>
          <t>ARIMA(1,1,1)</t>
        </is>
      </c>
      <c r="B15" s="10" t="n">
        <v>-87.43429999999999</v>
      </c>
      <c r="C15" s="10" t="n">
        <v>180.8687</v>
      </c>
      <c r="D15" s="10" t="n">
        <v>184.4028</v>
      </c>
      <c r="E15" s="10" t="n">
        <v>182.0115</v>
      </c>
      <c r="F15" s="10" t="n">
        <v>12</v>
      </c>
      <c r="G15" s="11" t="inlineStr"/>
      <c r="H15" s="11" t="inlineStr"/>
    </row>
    <row r="16">
      <c r="A16" s="15" t="inlineStr">
        <is>
          <t>ARIMA(0,1,1)</t>
        </is>
      </c>
      <c r="B16" s="12" t="n">
        <v>-88.72799999999999</v>
      </c>
      <c r="C16" s="12" t="n">
        <v>181.456</v>
      </c>
      <c r="D16" s="12" t="n">
        <v>183.8121</v>
      </c>
      <c r="E16" s="12" t="n">
        <v>182.0014</v>
      </c>
      <c r="F16" s="12" t="n">
        <v>13</v>
      </c>
      <c r="G16" s="15" t="inlineStr"/>
      <c r="H16" s="15" t="inlineStr"/>
    </row>
    <row r="17">
      <c r="A17" s="11" t="inlineStr">
        <is>
          <t>ARIMA(2,1,0)</t>
        </is>
      </c>
      <c r="B17" s="10" t="n">
        <v>-88.6127</v>
      </c>
      <c r="C17" s="10" t="n">
        <v>183.2254</v>
      </c>
      <c r="D17" s="10" t="n">
        <v>186.7595</v>
      </c>
      <c r="E17" s="10" t="n">
        <v>184.3682</v>
      </c>
      <c r="F17" s="10" t="n">
        <v>14</v>
      </c>
      <c r="G17" s="11" t="inlineStr"/>
      <c r="H17" s="11" t="inlineStr"/>
    </row>
    <row r="18">
      <c r="A18" s="15" t="inlineStr">
        <is>
          <t>ARIMA(1,0,2)</t>
        </is>
      </c>
      <c r="B18" s="12" t="n">
        <v>-86.87179999999999</v>
      </c>
      <c r="C18" s="12" t="n">
        <v>183.7437</v>
      </c>
      <c r="D18" s="12" t="n">
        <v>189.838</v>
      </c>
      <c r="E18" s="12" t="n">
        <v>185.7437</v>
      </c>
      <c r="F18" s="12" t="n">
        <v>15</v>
      </c>
      <c r="G18" s="15" t="inlineStr"/>
      <c r="H18" s="15" t="inlineStr"/>
    </row>
    <row r="19">
      <c r="A19" s="11" t="inlineStr">
        <is>
          <t>ARIMA(1,0,3)</t>
        </is>
      </c>
      <c r="B19" s="10" t="n">
        <v>-86.3058</v>
      </c>
      <c r="C19" s="10" t="n">
        <v>184.6115</v>
      </c>
      <c r="D19" s="10" t="n">
        <v>191.9248</v>
      </c>
      <c r="E19" s="10" t="n">
        <v>187.7694</v>
      </c>
      <c r="F19" s="10" t="n">
        <v>16</v>
      </c>
      <c r="G19" s="11" t="inlineStr"/>
      <c r="H19" s="11" t="inlineStr"/>
    </row>
    <row r="20">
      <c r="A20" s="15" t="inlineStr">
        <is>
          <t>ARIMA(0,0,3)</t>
        </is>
      </c>
      <c r="B20" s="12" t="n">
        <v>-87.3539</v>
      </c>
      <c r="C20" s="12" t="n">
        <v>184.7078</v>
      </c>
      <c r="D20" s="12" t="n">
        <v>190.8022</v>
      </c>
      <c r="E20" s="12" t="n">
        <v>186.7078</v>
      </c>
      <c r="F20" s="12" t="n">
        <v>17</v>
      </c>
      <c r="G20" s="15" t="inlineStr"/>
      <c r="H20" s="15" t="inlineStr"/>
    </row>
    <row r="21">
      <c r="A21" s="11" t="inlineStr">
        <is>
          <t>ARIMA(3,0,2)</t>
        </is>
      </c>
      <c r="B21" s="10" t="n">
        <v>-85.875</v>
      </c>
      <c r="C21" s="10" t="n">
        <v>185.75</v>
      </c>
      <c r="D21" s="10" t="n">
        <v>194.2822</v>
      </c>
      <c r="E21" s="10" t="n">
        <v>190.4167</v>
      </c>
      <c r="F21" s="10" t="n">
        <v>18</v>
      </c>
      <c r="G21" s="11" t="inlineStr"/>
      <c r="H21" s="11" t="inlineStr"/>
    </row>
    <row r="22">
      <c r="A22" s="15" t="inlineStr">
        <is>
          <t>ARIMA(0,0,0)</t>
        </is>
      </c>
      <c r="B22" s="12" t="n">
        <v>-91.05329999999999</v>
      </c>
      <c r="C22" s="12" t="n">
        <v>186.1067</v>
      </c>
      <c r="D22" s="12" t="n">
        <v>188.5444</v>
      </c>
      <c r="E22" s="12" t="n">
        <v>186.2806</v>
      </c>
      <c r="F22" s="12" t="n">
        <v>19</v>
      </c>
      <c r="G22" s="15" t="inlineStr"/>
      <c r="H22" s="15" t="inlineStr"/>
    </row>
    <row r="23">
      <c r="A23" s="11" t="inlineStr">
        <is>
          <t>ARIMA(3,0,3)</t>
        </is>
      </c>
      <c r="B23" s="10" t="n">
        <v>-85.14709999999999</v>
      </c>
      <c r="C23" s="10" t="n">
        <v>186.2943</v>
      </c>
      <c r="D23" s="10" t="n">
        <v>196.0453</v>
      </c>
      <c r="E23" s="10" t="n">
        <v>192.8825</v>
      </c>
      <c r="F23" s="10" t="n">
        <v>20</v>
      </c>
      <c r="G23" s="11" t="inlineStr"/>
      <c r="H23" s="11" t="inlineStr"/>
    </row>
    <row r="24">
      <c r="A24" s="15" t="inlineStr">
        <is>
          <t>ARIMA(2,0,3)</t>
        </is>
      </c>
      <c r="B24" s="12" t="n">
        <v>-86.2409</v>
      </c>
      <c r="C24" s="12" t="n">
        <v>186.4818</v>
      </c>
      <c r="D24" s="12" t="n">
        <v>195.0139</v>
      </c>
      <c r="E24" s="12" t="n">
        <v>191.1484</v>
      </c>
      <c r="F24" s="12" t="n">
        <v>21</v>
      </c>
      <c r="G24" s="15" t="inlineStr"/>
      <c r="H24" s="15" t="inlineStr"/>
    </row>
    <row r="25">
      <c r="A25" s="11" t="inlineStr">
        <is>
          <t>ARIMA(1,0,0)</t>
        </is>
      </c>
      <c r="B25" s="10" t="n">
        <v>-90.7285</v>
      </c>
      <c r="C25" s="10" t="n">
        <v>187.4571</v>
      </c>
      <c r="D25" s="10" t="n">
        <v>191.1137</v>
      </c>
      <c r="E25" s="10" t="n">
        <v>188.0026</v>
      </c>
      <c r="F25" s="10" t="n">
        <v>22</v>
      </c>
      <c r="G25" s="11" t="inlineStr"/>
      <c r="H25" s="11" t="inlineStr"/>
    </row>
    <row r="26">
      <c r="A26" s="15" t="inlineStr">
        <is>
          <t>ARIMA(0,0,1)</t>
        </is>
      </c>
      <c r="B26" s="12" t="n">
        <v>-90.74930000000001</v>
      </c>
      <c r="C26" s="12" t="n">
        <v>187.4986</v>
      </c>
      <c r="D26" s="12" t="n">
        <v>191.1553</v>
      </c>
      <c r="E26" s="12" t="n">
        <v>188.0441</v>
      </c>
      <c r="F26" s="12" t="n">
        <v>23</v>
      </c>
      <c r="G26" s="15" t="inlineStr"/>
      <c r="H26" s="15" t="inlineStr"/>
    </row>
    <row r="27">
      <c r="A27" s="11" t="inlineStr">
        <is>
          <t>ARIMA(3,0,1)</t>
        </is>
      </c>
      <c r="B27" s="10" t="n">
        <v>-88.3626</v>
      </c>
      <c r="C27" s="10" t="n">
        <v>188.7253</v>
      </c>
      <c r="D27" s="10" t="n">
        <v>196.0386</v>
      </c>
      <c r="E27" s="10" t="n">
        <v>191.8832</v>
      </c>
      <c r="F27" s="10" t="n">
        <v>24</v>
      </c>
      <c r="G27" s="11" t="inlineStr"/>
      <c r="H27" s="11" t="inlineStr"/>
    </row>
    <row r="28">
      <c r="A28" s="15" t="inlineStr">
        <is>
          <t>ARIMA(0,0,2)</t>
        </is>
      </c>
      <c r="B28" s="12" t="n">
        <v>-90.62949999999999</v>
      </c>
      <c r="C28" s="12" t="n">
        <v>189.259</v>
      </c>
      <c r="D28" s="12" t="n">
        <v>194.1345</v>
      </c>
      <c r="E28" s="12" t="n">
        <v>190.4019</v>
      </c>
      <c r="F28" s="12" t="n">
        <v>25</v>
      </c>
      <c r="G28" s="15" t="inlineStr"/>
      <c r="H28" s="15" t="inlineStr"/>
    </row>
    <row r="29">
      <c r="A29" s="11" t="inlineStr">
        <is>
          <t>ARIMA(2,0,0)</t>
        </is>
      </c>
      <c r="B29" s="10" t="n">
        <v>-90.7208</v>
      </c>
      <c r="C29" s="10" t="n">
        <v>189.4415</v>
      </c>
      <c r="D29" s="10" t="n">
        <v>194.317</v>
      </c>
      <c r="E29" s="10" t="n">
        <v>190.5844</v>
      </c>
      <c r="F29" s="10" t="n">
        <v>26</v>
      </c>
      <c r="G29" s="11" t="inlineStr"/>
      <c r="H29" s="11" t="inlineStr"/>
    </row>
    <row r="30">
      <c r="A30" s="15" t="inlineStr">
        <is>
          <t>ARIMA(1,0,1)</t>
        </is>
      </c>
      <c r="B30" s="12" t="n">
        <v>-90.7269</v>
      </c>
      <c r="C30" s="12" t="n">
        <v>189.4537</v>
      </c>
      <c r="D30" s="12" t="n">
        <v>194.3292</v>
      </c>
      <c r="E30" s="12" t="n">
        <v>190.5966</v>
      </c>
      <c r="F30" s="12" t="n">
        <v>27</v>
      </c>
      <c r="G30" s="15" t="inlineStr"/>
      <c r="H30" s="15" t="inlineStr"/>
    </row>
    <row r="31">
      <c r="A31" s="11" t="inlineStr">
        <is>
          <t>ARIMA(3,0,0)</t>
        </is>
      </c>
      <c r="B31" s="10" t="n">
        <v>-89.7527</v>
      </c>
      <c r="C31" s="10" t="n">
        <v>189.5054</v>
      </c>
      <c r="D31" s="10" t="n">
        <v>195.5998</v>
      </c>
      <c r="E31" s="10" t="n">
        <v>191.5054</v>
      </c>
      <c r="F31" s="10" t="n">
        <v>28</v>
      </c>
      <c r="G31" s="11" t="inlineStr"/>
      <c r="H31" s="11" t="inlineStr"/>
    </row>
    <row r="32">
      <c r="A32" s="15" t="inlineStr">
        <is>
          <t>ARIMA(1,1,0)</t>
        </is>
      </c>
      <c r="B32" s="12" t="n">
        <v>-92.94029999999999</v>
      </c>
      <c r="C32" s="12" t="n">
        <v>189.8807</v>
      </c>
      <c r="D32" s="12" t="n">
        <v>192.2368</v>
      </c>
      <c r="E32" s="12" t="n">
        <v>190.4261</v>
      </c>
      <c r="F32" s="12" t="n">
        <v>29</v>
      </c>
      <c r="G32" s="15" t="inlineStr"/>
      <c r="H32" s="15" t="inlineStr"/>
    </row>
    <row r="33">
      <c r="A33" s="11" t="inlineStr">
        <is>
          <t>ARIMA(2,0,1)</t>
        </is>
      </c>
      <c r="B33" s="10" t="n">
        <v>-90.6353</v>
      </c>
      <c r="C33" s="10" t="n">
        <v>191.2706</v>
      </c>
      <c r="D33" s="10" t="n">
        <v>197.365</v>
      </c>
      <c r="E33" s="10" t="n">
        <v>193.2706</v>
      </c>
      <c r="F33" s="10" t="n">
        <v>30</v>
      </c>
      <c r="G33" s="11" t="inlineStr"/>
      <c r="H33" s="11" t="inlineStr"/>
    </row>
    <row r="34">
      <c r="A34" s="15" t="inlineStr">
        <is>
          <t>ARIMA(2,0,2)</t>
        </is>
      </c>
      <c r="B34" s="12" t="n">
        <v>-90.66160000000001</v>
      </c>
      <c r="C34" s="12" t="n">
        <v>193.3231</v>
      </c>
      <c r="D34" s="12" t="n">
        <v>200.6364</v>
      </c>
      <c r="E34" s="12" t="n">
        <v>196.481</v>
      </c>
      <c r="F34" s="12" t="n">
        <v>31</v>
      </c>
      <c r="G34" s="15" t="inlineStr"/>
      <c r="H34" s="15" t="inlineStr"/>
    </row>
    <row r="35">
      <c r="A35" s="11" t="inlineStr">
        <is>
          <t>ARIMA(0,1,0)</t>
        </is>
      </c>
      <c r="B35" s="10" t="n">
        <v>-97.7809</v>
      </c>
      <c r="C35" s="10" t="n">
        <v>197.5619</v>
      </c>
      <c r="D35" s="10" t="n">
        <v>198.7399</v>
      </c>
      <c r="E35" s="10" t="n">
        <v>197.7358</v>
      </c>
      <c r="F35" s="10" t="n">
        <v>32</v>
      </c>
      <c r="G35" s="11" t="inlineStr"/>
      <c r="H35" s="11" t="inlineStr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28" t="inlineStr">
        <is>
          <t>★ Best Model: ARIMA(0,1,2) — minimum AIC = 176.2495  |  BIC = 179.7836</t>
        </is>
      </c>
    </row>
  </sheetData>
  <mergeCells count="2">
    <mergeCell ref="A37:F37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0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7" t="inlineStr">
        <is>
          <t xml:space="preserve">  ARIMA(0,1,2) ESTIMATION OUTPUT — EViews Format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</row>
    <row r="3" ht="16" customHeight="1">
      <c r="A3" s="16" t="inlineStr">
        <is>
          <t xml:space="preserve">  Equation Settings</t>
        </is>
      </c>
    </row>
    <row r="4">
      <c r="A4" s="17" t="inlineStr">
        <is>
          <t>Dependent Variable:</t>
        </is>
      </c>
      <c r="B4" s="18" t="inlineStr">
        <is>
          <t>MALARIA_DEATHS</t>
        </is>
      </c>
      <c r="C4" s="8" t="n"/>
      <c r="D4" s="8" t="n"/>
      <c r="E4" s="8" t="n"/>
      <c r="F4" s="8" t="n"/>
      <c r="G4" s="8" t="n"/>
      <c r="H4" s="8" t="n"/>
    </row>
    <row r="5">
      <c r="A5" s="17" t="inlineStr">
        <is>
          <t>Method:</t>
        </is>
      </c>
      <c r="B5" s="18" t="inlineStr">
        <is>
          <t>ML — ARMA Maximum Likelihood (Marquardt)</t>
        </is>
      </c>
      <c r="C5" s="8" t="n"/>
      <c r="D5" s="8" t="n"/>
      <c r="E5" s="8" t="n"/>
      <c r="F5" s="8" t="n"/>
      <c r="G5" s="8" t="n"/>
      <c r="H5" s="8" t="n"/>
    </row>
    <row r="6">
      <c r="A6" s="17" t="inlineStr">
        <is>
          <t>Sample:</t>
        </is>
      </c>
      <c r="B6" s="18" t="inlineStr">
        <is>
          <t>2000 to 2024</t>
        </is>
      </c>
      <c r="C6" s="8" t="n"/>
      <c r="D6" s="8" t="n"/>
      <c r="E6" s="8" t="n"/>
      <c r="F6" s="8" t="n"/>
      <c r="G6" s="8" t="n"/>
      <c r="H6" s="8" t="n"/>
    </row>
    <row r="7">
      <c r="A7" s="17" t="inlineStr">
        <is>
          <t>Included observations:</t>
        </is>
      </c>
      <c r="B7" s="18" t="inlineStr">
        <is>
          <t>25 after adjustments</t>
        </is>
      </c>
      <c r="C7" s="8" t="n"/>
      <c r="D7" s="8" t="n"/>
      <c r="E7" s="8" t="n"/>
      <c r="F7" s="8" t="n"/>
      <c r="G7" s="8" t="n"/>
      <c r="H7" s="8" t="n"/>
    </row>
    <row r="8">
      <c r="A8" s="17" t="inlineStr">
        <is>
          <t>Convergence:</t>
        </is>
      </c>
      <c r="B8" s="18" t="inlineStr">
        <is>
          <t>Achieved</t>
        </is>
      </c>
      <c r="C8" s="8" t="n"/>
      <c r="D8" s="8" t="n"/>
      <c r="E8" s="8" t="n"/>
      <c r="F8" s="8" t="n"/>
      <c r="G8" s="8" t="n"/>
      <c r="H8" s="8" t="n"/>
    </row>
    <row r="9">
      <c r="A9" s="17" t="inlineStr">
        <is>
          <t>MA Backcast:</t>
        </is>
      </c>
      <c r="B9" s="18" t="inlineStr">
        <is>
          <t>2000</t>
        </is>
      </c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 ht="16" customHeight="1">
      <c r="A11" s="9" t="inlineStr">
        <is>
          <t>Variable</t>
        </is>
      </c>
      <c r="B11" s="9" t="inlineStr">
        <is>
          <t>Coefficient</t>
        </is>
      </c>
      <c r="C11" s="9" t="inlineStr">
        <is>
          <t>Std. Error</t>
        </is>
      </c>
      <c r="D11" s="9" t="inlineStr">
        <is>
          <t>z-Statistic</t>
        </is>
      </c>
      <c r="E11" s="9" t="inlineStr">
        <is>
          <t>Prob.</t>
        </is>
      </c>
      <c r="F11" s="9" t="inlineStr"/>
      <c r="G11" s="9" t="inlineStr"/>
      <c r="H11" s="9" t="inlineStr"/>
    </row>
    <row r="12">
      <c r="A12" s="11" t="inlineStr">
        <is>
          <t>ma.L1</t>
        </is>
      </c>
      <c r="B12" s="14" t="n">
        <v>-1.464633</v>
      </c>
      <c r="C12" s="14" t="n">
        <v>13.275034</v>
      </c>
      <c r="D12" s="14" t="n">
        <v>-0.1103</v>
      </c>
      <c r="E12" s="14" t="n">
        <v>0.9121</v>
      </c>
      <c r="F12" s="11" t="inlineStr"/>
      <c r="G12" s="11" t="inlineStr"/>
      <c r="H12" s="11" t="inlineStr"/>
    </row>
    <row r="13">
      <c r="A13" s="15" t="inlineStr">
        <is>
          <t>ma.L2</t>
        </is>
      </c>
      <c r="B13" s="13" t="n">
        <v>0.998177</v>
      </c>
      <c r="C13" s="13" t="n">
        <v>18.102746</v>
      </c>
      <c r="D13" s="13" t="n">
        <v>0.0551</v>
      </c>
      <c r="E13" s="13" t="n">
        <v>0.956</v>
      </c>
      <c r="F13" s="15" t="inlineStr"/>
      <c r="G13" s="15" t="inlineStr"/>
      <c r="H13" s="15" t="inlineStr"/>
    </row>
    <row r="14">
      <c r="A14" s="11" t="inlineStr">
        <is>
          <t>sigma2</t>
        </is>
      </c>
      <c r="B14" s="14" t="n">
        <v>55.24561</v>
      </c>
      <c r="C14" s="14" t="n">
        <v>989.858666</v>
      </c>
      <c r="D14" s="14" t="n">
        <v>0.0558</v>
      </c>
      <c r="E14" s="14" t="n">
        <v>0.9555</v>
      </c>
      <c r="F14" s="11" t="inlineStr"/>
      <c r="G14" s="11" t="inlineStr"/>
      <c r="H14" s="11" t="inlineStr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 ht="16" customHeight="1">
      <c r="A16" s="16" t="inlineStr">
        <is>
          <t xml:space="preserve">  Summary Statistics</t>
        </is>
      </c>
    </row>
    <row r="17">
      <c r="A17" s="11" t="inlineStr">
        <is>
          <t>R-squared</t>
        </is>
      </c>
      <c r="B17" s="14" t="n">
        <v>0.174509</v>
      </c>
      <c r="C17" s="11" t="inlineStr"/>
      <c r="D17" s="11" t="inlineStr">
        <is>
          <t>Mean dependent var</t>
        </is>
      </c>
      <c r="E17" s="14" t="n">
        <v>48.96</v>
      </c>
      <c r="F17" s="11" t="inlineStr"/>
      <c r="G17" s="11" t="inlineStr"/>
      <c r="H17" s="11" t="inlineStr"/>
    </row>
    <row r="18">
      <c r="A18" s="15" t="inlineStr">
        <is>
          <t>Adjusted R-sq.</t>
        </is>
      </c>
      <c r="B18" s="15" t="inlineStr">
        <is>
          <t>—</t>
        </is>
      </c>
      <c r="C18" s="15" t="inlineStr"/>
      <c r="D18" s="15" t="inlineStr">
        <is>
          <t>S.D. dependent var</t>
        </is>
      </c>
      <c r="E18" s="13" t="n">
        <v>9.427265</v>
      </c>
      <c r="F18" s="15" t="inlineStr"/>
      <c r="G18" s="15" t="inlineStr"/>
      <c r="H18" s="15" t="inlineStr"/>
    </row>
    <row r="19">
      <c r="A19" s="11" t="inlineStr">
        <is>
          <t>S.E. of regression</t>
        </is>
      </c>
      <c r="B19" s="14" t="n">
        <v>11.855921</v>
      </c>
      <c r="C19" s="11" t="inlineStr"/>
      <c r="D19" s="11" t="inlineStr">
        <is>
          <t>Akaike info criterion</t>
        </is>
      </c>
      <c r="E19" s="14" t="n">
        <v>176.249456</v>
      </c>
      <c r="F19" s="11" t="inlineStr"/>
      <c r="G19" s="11" t="inlineStr"/>
      <c r="H19" s="11" t="inlineStr"/>
    </row>
    <row r="20">
      <c r="A20" s="15" t="inlineStr">
        <is>
          <t>Sum squared resid</t>
        </is>
      </c>
      <c r="B20" s="13" t="n">
        <v>3514.0715</v>
      </c>
      <c r="C20" s="15" t="inlineStr"/>
      <c r="D20" s="15" t="inlineStr">
        <is>
          <t>Schwarz criterion</t>
        </is>
      </c>
      <c r="E20" s="13" t="n">
        <v>179.783618</v>
      </c>
      <c r="F20" s="15" t="inlineStr"/>
      <c r="G20" s="15" t="inlineStr"/>
      <c r="H20" s="15" t="inlineStr"/>
    </row>
    <row r="21">
      <c r="A21" s="11" t="inlineStr">
        <is>
          <t>Log likelihood</t>
        </is>
      </c>
      <c r="B21" s="14" t="n">
        <v>-85.124728</v>
      </c>
      <c r="C21" s="11" t="inlineStr"/>
      <c r="D21" s="11" t="inlineStr">
        <is>
          <t>Hannan-Quinn criter.</t>
        </is>
      </c>
      <c r="E21" s="14" t="n">
        <v>177.18707</v>
      </c>
      <c r="F21" s="11" t="inlineStr"/>
      <c r="G21" s="11" t="inlineStr"/>
      <c r="H21" s="11" t="inlineStr"/>
    </row>
    <row r="22">
      <c r="A22" s="15" t="inlineStr">
        <is>
          <t>Durbin-Watson</t>
        </is>
      </c>
      <c r="B22" s="15" t="inlineStr">
        <is>
          <t>~2.00</t>
        </is>
      </c>
      <c r="C22" s="15" t="inlineStr"/>
      <c r="D22" s="15" t="inlineStr">
        <is>
          <t>AICc</t>
        </is>
      </c>
      <c r="E22" s="13" t="n">
        <v>177.392313</v>
      </c>
      <c r="F22" s="15" t="inlineStr"/>
      <c r="G22" s="15" t="inlineStr"/>
      <c r="H22" s="15" t="inlineStr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 ht="16" customHeight="1">
      <c r="A24" s="16" t="inlineStr">
        <is>
          <t xml:space="preserve">  Actual, Fitted and Residual Values</t>
        </is>
      </c>
    </row>
    <row r="25" ht="16" customHeight="1">
      <c r="A25" s="9" t="inlineStr">
        <is>
          <t>Year</t>
        </is>
      </c>
      <c r="B25" s="9" t="inlineStr">
        <is>
          <t>Actual</t>
        </is>
      </c>
      <c r="C25" s="9" t="inlineStr">
        <is>
          <t>Fitted</t>
        </is>
      </c>
      <c r="D25" s="9" t="inlineStr">
        <is>
          <t>Residual</t>
        </is>
      </c>
      <c r="E25" s="9" t="inlineStr"/>
      <c r="F25" s="9" t="inlineStr">
        <is>
          <t>Year</t>
        </is>
      </c>
      <c r="G25" s="9" t="inlineStr">
        <is>
          <t>Actual</t>
        </is>
      </c>
      <c r="H25" s="9" t="inlineStr">
        <is>
          <t>Fitted</t>
        </is>
      </c>
    </row>
    <row r="26">
      <c r="A26" s="10" t="n">
        <v>2000</v>
      </c>
      <c r="B26" s="10" t="n">
        <v>44</v>
      </c>
      <c r="C26" s="14" t="n">
        <v>0</v>
      </c>
      <c r="D26" s="14" t="n">
        <v>44</v>
      </c>
    </row>
    <row r="27">
      <c r="A27" s="12" t="n">
        <v>2001</v>
      </c>
      <c r="B27" s="12" t="n">
        <v>40</v>
      </c>
      <c r="C27" s="13" t="n">
        <v>43.9929</v>
      </c>
      <c r="D27" s="13" t="n">
        <v>-3.9929</v>
      </c>
    </row>
    <row r="28">
      <c r="A28" s="10" t="n">
        <v>2002</v>
      </c>
      <c r="B28" s="10" t="n">
        <v>44</v>
      </c>
      <c r="C28" s="14" t="n">
        <v>42.8242</v>
      </c>
      <c r="D28" s="14" t="n">
        <v>1.1758</v>
      </c>
    </row>
    <row r="29">
      <c r="A29" s="12" t="n">
        <v>2003</v>
      </c>
      <c r="B29" s="12" t="n">
        <v>55</v>
      </c>
      <c r="C29" s="13" t="n">
        <v>41.7779</v>
      </c>
      <c r="D29" s="13" t="n">
        <v>13.2221</v>
      </c>
    </row>
    <row r="30">
      <c r="A30" s="10" t="n">
        <v>2004</v>
      </c>
      <c r="B30" s="10" t="n">
        <v>36</v>
      </c>
      <c r="C30" s="14" t="n">
        <v>39.4245</v>
      </c>
      <c r="D30" s="14" t="n">
        <v>-3.4245</v>
      </c>
    </row>
    <row r="31">
      <c r="A31" s="12" t="n">
        <v>2005</v>
      </c>
      <c r="B31" s="12" t="n">
        <v>51</v>
      </c>
      <c r="C31" s="13" t="n">
        <v>48.8723</v>
      </c>
      <c r="D31" s="13" t="n">
        <v>2.1277</v>
      </c>
    </row>
    <row r="32">
      <c r="A32" s="10" t="n">
        <v>2006</v>
      </c>
      <c r="B32" s="10" t="n">
        <v>43</v>
      </c>
      <c r="C32" s="14" t="n">
        <v>45.9461</v>
      </c>
      <c r="D32" s="14" t="n">
        <v>-2.9461</v>
      </c>
    </row>
    <row r="33">
      <c r="A33" s="12" t="n">
        <v>2007</v>
      </c>
      <c r="B33" s="12" t="n">
        <v>54</v>
      </c>
      <c r="C33" s="13" t="n">
        <v>48.2637</v>
      </c>
      <c r="D33" s="13" t="n">
        <v>5.7363</v>
      </c>
    </row>
    <row r="34">
      <c r="A34" s="10" t="n">
        <v>2008</v>
      </c>
      <c r="B34" s="10" t="n">
        <v>37</v>
      </c>
      <c r="C34" s="14" t="n">
        <v>44.2605</v>
      </c>
      <c r="D34" s="14" t="n">
        <v>-7.2605</v>
      </c>
    </row>
    <row r="35">
      <c r="A35" s="12" t="n">
        <v>2009</v>
      </c>
      <c r="B35" s="12" t="n">
        <v>36</v>
      </c>
      <c r="C35" s="13" t="n">
        <v>51.1748</v>
      </c>
      <c r="D35" s="13" t="n">
        <v>-15.1748</v>
      </c>
    </row>
    <row r="36">
      <c r="A36" s="10" t="n">
        <v>2010</v>
      </c>
      <c r="B36" s="10" t="n">
        <v>53</v>
      </c>
      <c r="C36" s="14" t="n">
        <v>50.1009</v>
      </c>
      <c r="D36" s="14" t="n">
        <v>2.8991</v>
      </c>
    </row>
    <row r="37">
      <c r="A37" s="12" t="n">
        <v>2011</v>
      </c>
      <c r="B37" s="12" t="n">
        <v>51</v>
      </c>
      <c r="C37" s="13" t="n">
        <v>36.629</v>
      </c>
      <c r="D37" s="13" t="n">
        <v>14.371</v>
      </c>
    </row>
    <row r="38">
      <c r="A38" s="10" t="n">
        <v>2012</v>
      </c>
      <c r="B38" s="10" t="n">
        <v>36</v>
      </c>
      <c r="C38" s="14" t="n">
        <v>33.8894</v>
      </c>
      <c r="D38" s="14" t="n">
        <v>2.1106</v>
      </c>
    </row>
    <row r="39">
      <c r="A39" s="12" t="n">
        <v>2013</v>
      </c>
      <c r="B39" s="12" t="n">
        <v>56</v>
      </c>
      <c r="C39" s="13" t="n">
        <v>45.3393</v>
      </c>
      <c r="D39" s="13" t="n">
        <v>10.6607</v>
      </c>
    </row>
    <row r="40">
      <c r="A40" s="10" t="n">
        <v>2014</v>
      </c>
      <c r="B40" s="10" t="n">
        <v>41</v>
      </c>
      <c r="C40" s="14" t="n">
        <v>43.2869</v>
      </c>
      <c r="D40" s="14" t="n">
        <v>-2.2869</v>
      </c>
    </row>
    <row r="41">
      <c r="A41" s="12" t="n">
        <v>2015</v>
      </c>
      <c r="B41" s="12" t="n">
        <v>65</v>
      </c>
      <c r="C41" s="13" t="n">
        <v>53.4247</v>
      </c>
      <c r="D41" s="13" t="n">
        <v>11.5753</v>
      </c>
    </row>
    <row r="42">
      <c r="A42" s="10" t="n">
        <v>2016</v>
      </c>
      <c r="B42" s="10" t="n">
        <v>52</v>
      </c>
      <c r="C42" s="14" t="n">
        <v>47.0148</v>
      </c>
      <c r="D42" s="14" t="n">
        <v>4.9852</v>
      </c>
    </row>
    <row r="43">
      <c r="A43" s="12" t="n">
        <v>2017</v>
      </c>
      <c r="B43" s="12" t="n">
        <v>41</v>
      </c>
      <c r="C43" s="13" t="n">
        <v>55.3054</v>
      </c>
      <c r="D43" s="13" t="n">
        <v>-14.3054</v>
      </c>
    </row>
    <row r="44">
      <c r="A44" s="10" t="n">
        <v>2018</v>
      </c>
      <c r="B44" s="10" t="n">
        <v>62</v>
      </c>
      <c r="C44" s="14" t="n">
        <v>65.3159</v>
      </c>
      <c r="D44" s="14" t="n">
        <v>-3.3159</v>
      </c>
    </row>
    <row r="45">
      <c r="A45" s="12" t="n">
        <v>2019</v>
      </c>
      <c r="B45" s="12" t="n">
        <v>68</v>
      </c>
      <c r="C45" s="13" t="n">
        <v>53.7421</v>
      </c>
      <c r="D45" s="13" t="n">
        <v>14.2579</v>
      </c>
    </row>
    <row r="46">
      <c r="A46" s="10" t="n">
        <v>2020</v>
      </c>
      <c r="B46" s="10" t="n">
        <v>39</v>
      </c>
      <c r="C46" s="14" t="n">
        <v>45.1114</v>
      </c>
      <c r="D46" s="14" t="n">
        <v>-6.1114</v>
      </c>
    </row>
    <row r="47">
      <c r="A47" s="12" t="n">
        <v>2021</v>
      </c>
      <c r="B47" s="12" t="n">
        <v>56</v>
      </c>
      <c r="C47" s="13" t="n">
        <v>60.4695</v>
      </c>
      <c r="D47" s="13" t="n">
        <v>-4.4695</v>
      </c>
    </row>
    <row r="48">
      <c r="A48" s="10" t="n">
        <v>2022</v>
      </c>
      <c r="B48" s="10" t="n">
        <v>52</v>
      </c>
      <c r="C48" s="14" t="n">
        <v>56.688</v>
      </c>
      <c r="D48" s="14" t="n">
        <v>-4.688</v>
      </c>
    </row>
    <row r="49">
      <c r="A49" s="12" t="n">
        <v>2023</v>
      </c>
      <c r="B49" s="12" t="n">
        <v>55</v>
      </c>
      <c r="C49" s="13" t="n">
        <v>54.4762</v>
      </c>
      <c r="D49" s="13" t="n">
        <v>0.5238</v>
      </c>
    </row>
    <row r="50">
      <c r="A50" s="10" t="n">
        <v>2024</v>
      </c>
      <c r="B50" s="10" t="n">
        <v>57</v>
      </c>
      <c r="C50" s="14" t="n">
        <v>49.9656</v>
      </c>
      <c r="D50" s="14" t="n">
        <v>7.0344</v>
      </c>
    </row>
  </sheetData>
  <mergeCells count="4">
    <mergeCell ref="A3:H3"/>
    <mergeCell ref="A16:H16"/>
    <mergeCell ref="A24:H24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2" customWidth="1" min="3" max="3"/>
    <col width="8" customWidth="1" min="4" max="4"/>
    <col width="10" customWidth="1" min="5" max="5"/>
    <col width="10" customWidth="1" min="6" max="6"/>
    <col width="12" customWidth="1" min="7" max="7"/>
    <col width="10" customWidth="1" min="8" max="8"/>
  </cols>
  <sheetData>
    <row r="1" ht="18" customHeight="1">
      <c r="A1" s="7" t="inlineStr">
        <is>
          <t xml:space="preserve">  RESIDUAL DIAGNOSTICS — EViews Output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</row>
    <row r="3" ht="16" customHeight="1">
      <c r="A3" s="16" t="inlineStr">
        <is>
          <t xml:space="preserve">  Normality Test of Residuals (Jarque-Bera)</t>
        </is>
      </c>
    </row>
    <row r="4">
      <c r="A4" s="17" t="inlineStr">
        <is>
          <t>Jarque-Bera:</t>
        </is>
      </c>
      <c r="B4" s="18" t="n">
        <v>28.950905</v>
      </c>
      <c r="C4" s="8" t="n"/>
      <c r="D4" s="8" t="n"/>
      <c r="E4" s="8" t="n"/>
      <c r="F4" s="8" t="n"/>
      <c r="G4" s="8" t="n"/>
      <c r="H4" s="8" t="n"/>
    </row>
    <row r="5">
      <c r="A5" s="17" t="inlineStr">
        <is>
          <t>Probability:</t>
        </is>
      </c>
      <c r="B5" s="18" t="n">
        <v>1e-06</v>
      </c>
      <c r="C5" s="8" t="n"/>
      <c r="D5" s="8" t="n"/>
      <c r="E5" s="8" t="n"/>
      <c r="F5" s="8" t="n"/>
      <c r="G5" s="8" t="n"/>
      <c r="H5" s="8" t="n"/>
    </row>
    <row r="6">
      <c r="A6" s="17" t="inlineStr">
        <is>
          <t>Interpretation:</t>
        </is>
      </c>
      <c r="B6" s="18" t="inlineStr">
        <is>
          <t>H0 REJECTED — non-normal residuals</t>
        </is>
      </c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 ht="18" customHeight="1">
      <c r="A8" s="7" t="inlineStr">
        <is>
          <t xml:space="preserve">  LJUNG-BOX Q-STATISTICS — ARIMA(0,1,2) RESIDUALS</t>
        </is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 ht="16" customHeight="1">
      <c r="A10" s="9" t="inlineStr">
        <is>
          <t>Lag</t>
        </is>
      </c>
      <c r="B10" s="9" t="inlineStr">
        <is>
          <t>Q-Statistic</t>
        </is>
      </c>
      <c r="C10" s="9" t="inlineStr">
        <is>
          <t>Prob.</t>
        </is>
      </c>
      <c r="D10" s="9" t="inlineStr">
        <is>
          <t>Decision at 5%</t>
        </is>
      </c>
      <c r="E10" s="9" t="inlineStr"/>
      <c r="F10" s="9" t="inlineStr"/>
      <c r="G10" s="9" t="inlineStr"/>
      <c r="H10" s="9" t="inlineStr"/>
    </row>
    <row r="11">
      <c r="A11" s="12" t="n">
        <v>1</v>
      </c>
      <c r="B11" s="13" t="n">
        <v>0.1875</v>
      </c>
      <c r="C11" s="13" t="n">
        <v>0.665</v>
      </c>
      <c r="D11" s="15" t="inlineStr">
        <is>
          <t>No autocorrelation (Model adequate)</t>
        </is>
      </c>
    </row>
    <row r="12">
      <c r="A12" s="10" t="n">
        <v>2</v>
      </c>
      <c r="B12" s="14" t="n">
        <v>0.8322000000000001</v>
      </c>
      <c r="C12" s="14" t="n">
        <v>0.6596</v>
      </c>
      <c r="D12" s="11" t="inlineStr">
        <is>
          <t>No autocorrelation (Model adequate)</t>
        </is>
      </c>
    </row>
    <row r="13">
      <c r="A13" s="12" t="n">
        <v>3</v>
      </c>
      <c r="B13" s="13" t="n">
        <v>1.5461</v>
      </c>
      <c r="C13" s="13" t="n">
        <v>0.6717</v>
      </c>
      <c r="D13" s="15" t="inlineStr">
        <is>
          <t>No autocorrelation (Model adequate)</t>
        </is>
      </c>
    </row>
    <row r="14">
      <c r="A14" s="10" t="n">
        <v>4</v>
      </c>
      <c r="B14" s="14" t="n">
        <v>1.5562</v>
      </c>
      <c r="C14" s="14" t="n">
        <v>0.8166</v>
      </c>
      <c r="D14" s="11" t="inlineStr">
        <is>
          <t>No autocorrelation (Model adequate)</t>
        </is>
      </c>
    </row>
    <row r="15">
      <c r="A15" s="12" t="n">
        <v>5</v>
      </c>
      <c r="B15" s="13" t="n">
        <v>1.5571</v>
      </c>
      <c r="C15" s="13" t="n">
        <v>0.9064</v>
      </c>
      <c r="D15" s="15" t="inlineStr">
        <is>
          <t>No autocorrelation (Model adequate)</t>
        </is>
      </c>
    </row>
    <row r="16">
      <c r="A16" s="10" t="n">
        <v>6</v>
      </c>
      <c r="B16" s="14" t="n">
        <v>2.8842</v>
      </c>
      <c r="C16" s="14" t="n">
        <v>0.8232</v>
      </c>
      <c r="D16" s="11" t="inlineStr">
        <is>
          <t>No autocorrelation (Model adequate)</t>
        </is>
      </c>
    </row>
    <row r="17">
      <c r="A17" s="12" t="n">
        <v>7</v>
      </c>
      <c r="B17" s="13" t="n">
        <v>3.1847</v>
      </c>
      <c r="C17" s="13" t="n">
        <v>0.8673999999999999</v>
      </c>
      <c r="D17" s="15" t="inlineStr">
        <is>
          <t>No autocorrelation (Model adequate)</t>
        </is>
      </c>
    </row>
    <row r="18">
      <c r="A18" s="10" t="n">
        <v>8</v>
      </c>
      <c r="B18" s="14" t="n">
        <v>3.4551</v>
      </c>
      <c r="C18" s="14" t="n">
        <v>0.9026</v>
      </c>
      <c r="D18" s="11" t="inlineStr">
        <is>
          <t>No autocorrelation (Model adequate)</t>
        </is>
      </c>
    </row>
    <row r="19">
      <c r="A19" s="12" t="n">
        <v>9</v>
      </c>
      <c r="B19" s="13" t="n">
        <v>5.2148</v>
      </c>
      <c r="C19" s="13" t="n">
        <v>0.8152</v>
      </c>
      <c r="D19" s="15" t="inlineStr">
        <is>
          <t>No autocorrelation (Model adequate)</t>
        </is>
      </c>
    </row>
    <row r="20">
      <c r="A20" s="10" t="n">
        <v>10</v>
      </c>
      <c r="B20" s="14" t="n">
        <v>5.5562</v>
      </c>
      <c r="C20" s="14" t="n">
        <v>0.8511</v>
      </c>
      <c r="D20" s="11" t="inlineStr">
        <is>
          <t>No autocorrelation (Model adequate)</t>
        </is>
      </c>
    </row>
    <row r="21">
      <c r="A21" s="12" t="n">
        <v>11</v>
      </c>
      <c r="B21" s="13" t="n">
        <v>6.3742</v>
      </c>
      <c r="C21" s="13" t="n">
        <v>0.8473000000000001</v>
      </c>
      <c r="D21" s="15" t="inlineStr">
        <is>
          <t>No autocorrelation (Model adequate)</t>
        </is>
      </c>
    </row>
    <row r="22">
      <c r="A22" s="10" t="n">
        <v>12</v>
      </c>
      <c r="B22" s="14" t="n">
        <v>6.726</v>
      </c>
      <c r="C22" s="14" t="n">
        <v>0.8752</v>
      </c>
      <c r="D22" s="11" t="inlineStr">
        <is>
          <t>No autocorrelation (Model adequate)</t>
        </is>
      </c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 ht="18" customHeight="1">
      <c r="A24" s="7" t="inlineStr">
        <is>
          <t xml:space="preserve">  CORRELOGRAM OF RESIDUALS — ARIMA(0,1,2)</t>
        </is>
      </c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 ht="16" customHeight="1">
      <c r="A26" s="9" t="inlineStr"/>
      <c r="B26" s="9" t="inlineStr">
        <is>
          <t>AC Bar</t>
        </is>
      </c>
      <c r="C26" s="9" t="inlineStr">
        <is>
          <t>PAC Bar</t>
        </is>
      </c>
      <c r="D26" s="9" t="inlineStr">
        <is>
          <t>Lag</t>
        </is>
      </c>
      <c r="E26" s="9" t="inlineStr">
        <is>
          <t>AC</t>
        </is>
      </c>
      <c r="F26" s="9" t="inlineStr">
        <is>
          <t>PAC</t>
        </is>
      </c>
      <c r="G26" s="9" t="inlineStr">
        <is>
          <t>Q-Stat</t>
        </is>
      </c>
      <c r="H26" s="9" t="inlineStr">
        <is>
          <t>Prob</t>
        </is>
      </c>
    </row>
    <row r="27">
      <c r="A27" s="21" t="inlineStr"/>
      <c r="B27" s="22" t="inlineStr">
        <is>
          <t>|                 █|</t>
        </is>
      </c>
      <c r="C27" s="22" t="inlineStr">
        <is>
          <t>|                ██|</t>
        </is>
      </c>
      <c r="D27" s="21" t="n">
        <v>1</v>
      </c>
      <c r="E27" s="21" t="n">
        <v>-0.082</v>
      </c>
      <c r="F27" s="21" t="n">
        <v>-0.08500000000000001</v>
      </c>
      <c r="G27" s="21" t="n">
        <v>0.1875</v>
      </c>
      <c r="H27" s="21" t="n">
        <v>0.665</v>
      </c>
    </row>
    <row r="28">
      <c r="A28" s="23" t="inlineStr"/>
      <c r="B28" s="24" t="inlineStr">
        <is>
          <t>|               ███|</t>
        </is>
      </c>
      <c r="C28" s="24" t="inlineStr">
        <is>
          <t>|               ███|</t>
        </is>
      </c>
      <c r="D28" s="23" t="n">
        <v>2</v>
      </c>
      <c r="E28" s="23" t="n">
        <v>-0.148</v>
      </c>
      <c r="F28" s="23" t="n">
        <v>-0.17</v>
      </c>
      <c r="G28" s="23" t="n">
        <v>0.8322000000000001</v>
      </c>
      <c r="H28" s="23" t="n">
        <v>0.6596</v>
      </c>
    </row>
    <row r="29">
      <c r="A29" s="21" t="inlineStr"/>
      <c r="B29" s="22" t="inlineStr">
        <is>
          <t>|███               |</t>
        </is>
      </c>
      <c r="C29" s="22" t="inlineStr">
        <is>
          <t>|███               |</t>
        </is>
      </c>
      <c r="D29" s="21" t="n">
        <v>3</v>
      </c>
      <c r="E29" s="21" t="n">
        <v>0.153</v>
      </c>
      <c r="F29" s="21" t="n">
        <v>0.148</v>
      </c>
      <c r="G29" s="21" t="n">
        <v>1.5461</v>
      </c>
      <c r="H29" s="21" t="n">
        <v>0.6717</v>
      </c>
    </row>
    <row r="30">
      <c r="A30" s="23" t="inlineStr"/>
      <c r="B30" s="24" t="inlineStr">
        <is>
          <t>|                  |</t>
        </is>
      </c>
      <c r="C30" s="24" t="inlineStr">
        <is>
          <t>|                  |</t>
        </is>
      </c>
      <c r="D30" s="23" t="n">
        <v>4</v>
      </c>
      <c r="E30" s="23" t="n">
        <v>-0.018</v>
      </c>
      <c r="F30" s="23" t="n">
        <v>-0.022</v>
      </c>
      <c r="G30" s="23" t="n">
        <v>1.5562</v>
      </c>
      <c r="H30" s="23" t="n">
        <v>0.8166</v>
      </c>
    </row>
    <row r="31">
      <c r="A31" s="21" t="inlineStr"/>
      <c r="B31" s="22" t="inlineStr">
        <is>
          <t>|                  |</t>
        </is>
      </c>
      <c r="C31" s="22" t="inlineStr">
        <is>
          <t>|█                 |</t>
        </is>
      </c>
      <c r="D31" s="21" t="n">
        <v>5</v>
      </c>
      <c r="E31" s="21" t="n">
        <v>-0.005</v>
      </c>
      <c r="F31" s="21" t="n">
        <v>0.044</v>
      </c>
      <c r="G31" s="21" t="n">
        <v>1.5571</v>
      </c>
      <c r="H31" s="21" t="n">
        <v>0.9064</v>
      </c>
    </row>
    <row r="32">
      <c r="A32" s="23" t="inlineStr"/>
      <c r="B32" s="24" t="inlineStr">
        <is>
          <t>|               ███|</t>
        </is>
      </c>
      <c r="C32" s="24" t="inlineStr">
        <is>
          <t>|             █████|</t>
        </is>
      </c>
      <c r="D32" s="23" t="n">
        <v>6</v>
      </c>
      <c r="E32" s="23" t="n">
        <v>-0.193</v>
      </c>
      <c r="F32" s="23" t="n">
        <v>-0.302</v>
      </c>
      <c r="G32" s="23" t="n">
        <v>2.8842</v>
      </c>
      <c r="H32" s="23" t="n">
        <v>0.8232</v>
      </c>
    </row>
    <row r="33">
      <c r="A33" s="21" t="inlineStr"/>
      <c r="B33" s="22" t="inlineStr">
        <is>
          <t>|                ██|</t>
        </is>
      </c>
      <c r="C33" s="22" t="inlineStr">
        <is>
          <t>|               ███|</t>
        </is>
      </c>
      <c r="D33" s="21" t="n">
        <v>7</v>
      </c>
      <c r="E33" s="21" t="n">
        <v>-0.09</v>
      </c>
      <c r="F33" s="21" t="n">
        <v>-0.171</v>
      </c>
      <c r="G33" s="21" t="n">
        <v>3.1847</v>
      </c>
      <c r="H33" s="21" t="n">
        <v>0.8673999999999999</v>
      </c>
    </row>
    <row r="34">
      <c r="A34" s="23" t="inlineStr"/>
      <c r="B34" s="24" t="inlineStr">
        <is>
          <t>|█                 |</t>
        </is>
      </c>
      <c r="C34" s="24" t="inlineStr">
        <is>
          <t>|                  |</t>
        </is>
      </c>
      <c r="D34" s="23" t="n">
        <v>8</v>
      </c>
      <c r="E34" s="23" t="n">
        <v>0.083</v>
      </c>
      <c r="F34" s="23" t="n">
        <v>0.003</v>
      </c>
      <c r="G34" s="23" t="n">
        <v>3.4551</v>
      </c>
      <c r="H34" s="23" t="n">
        <v>0.9026</v>
      </c>
    </row>
    <row r="35">
      <c r="A35" s="21" t="inlineStr"/>
      <c r="B35" s="22" t="inlineStr">
        <is>
          <t>|              ████|</t>
        </is>
      </c>
      <c r="C35" s="22" t="inlineStr">
        <is>
          <t>|             █████|</t>
        </is>
      </c>
      <c r="D35" s="21" t="n">
        <v>9</v>
      </c>
      <c r="E35" s="21" t="n">
        <v>-0.204</v>
      </c>
      <c r="F35" s="21" t="n">
        <v>-0.304</v>
      </c>
      <c r="G35" s="21" t="n">
        <v>5.2148</v>
      </c>
      <c r="H35" s="21" t="n">
        <v>0.8152</v>
      </c>
    </row>
    <row r="36">
      <c r="A36" s="23" t="inlineStr"/>
      <c r="B36" s="24" t="inlineStr">
        <is>
          <t>|                ██|</t>
        </is>
      </c>
      <c r="C36" s="24" t="inlineStr">
        <is>
          <t>|              ████|</t>
        </is>
      </c>
      <c r="D36" s="23" t="n">
        <v>10</v>
      </c>
      <c r="E36" s="23" t="n">
        <v>-0.08699999999999999</v>
      </c>
      <c r="F36" s="23" t="n">
        <v>-0.197</v>
      </c>
      <c r="G36" s="23" t="n">
        <v>5.5562</v>
      </c>
      <c r="H36" s="23" t="n">
        <v>0.8511</v>
      </c>
    </row>
    <row r="37">
      <c r="A37" s="21" t="inlineStr"/>
      <c r="B37" s="22" t="inlineStr">
        <is>
          <t>|██                |</t>
        </is>
      </c>
      <c r="C37" s="22" t="inlineStr">
        <is>
          <t>|█                 |</t>
        </is>
      </c>
      <c r="D37" s="21" t="n">
        <v>11</v>
      </c>
      <c r="E37" s="21" t="n">
        <v>0.13</v>
      </c>
      <c r="F37" s="21" t="n">
        <v>0.073</v>
      </c>
      <c r="G37" s="21" t="n">
        <v>6.3742</v>
      </c>
      <c r="H37" s="21" t="n">
        <v>0.8473000000000001</v>
      </c>
    </row>
    <row r="38">
      <c r="A38" s="23" t="inlineStr"/>
      <c r="B38" s="24" t="inlineStr">
        <is>
          <t>|█                 |</t>
        </is>
      </c>
      <c r="C38" s="24" t="inlineStr">
        <is>
          <t>|████              |</t>
        </is>
      </c>
      <c r="D38" s="23" t="n">
        <v>12</v>
      </c>
      <c r="E38" s="23" t="n">
        <v>0.082</v>
      </c>
      <c r="F38" s="23" t="n">
        <v>0.211</v>
      </c>
      <c r="G38" s="23" t="n">
        <v>6.726</v>
      </c>
      <c r="H38" s="23" t="n">
        <v>0.8752</v>
      </c>
    </row>
  </sheetData>
  <mergeCells count="4">
    <mergeCell ref="A8:H8"/>
    <mergeCell ref="A3:H3"/>
    <mergeCell ref="A24:H24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</cols>
  <sheetData>
    <row r="1" ht="18" customHeight="1">
      <c r="A1" s="7" t="inlineStr">
        <is>
          <t xml:space="preserve">  ARIMA(0,1,2) FORECAST — MALARIA DEATHS (2025–2029)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</row>
    <row r="3" ht="16" customHeight="1">
      <c r="A3" s="16" t="inlineStr">
        <is>
          <t xml:space="preserve">  Forecast Settings</t>
        </is>
      </c>
    </row>
    <row r="4">
      <c r="A4" s="17" t="inlineStr">
        <is>
          <t>Method:</t>
        </is>
      </c>
      <c r="B4" s="18" t="inlineStr">
        <is>
          <t>ML — ARIMA(0,1,2)</t>
        </is>
      </c>
      <c r="C4" s="8" t="n"/>
      <c r="D4" s="8" t="n"/>
      <c r="E4" s="8" t="n"/>
      <c r="F4" s="8" t="n"/>
      <c r="G4" s="8" t="n"/>
      <c r="H4" s="8" t="n"/>
    </row>
    <row r="5">
      <c r="A5" s="17" t="inlineStr">
        <is>
          <t>Forecast sample:</t>
        </is>
      </c>
      <c r="B5" s="18" t="inlineStr">
        <is>
          <t>2025 to 2029</t>
        </is>
      </c>
      <c r="C5" s="8" t="n"/>
      <c r="D5" s="8" t="n"/>
      <c r="E5" s="8" t="n"/>
      <c r="F5" s="8" t="n"/>
      <c r="G5" s="8" t="n"/>
      <c r="H5" s="8" t="n"/>
    </row>
    <row r="6">
      <c r="A6" s="17" t="inlineStr">
        <is>
          <t>Horizon:</t>
        </is>
      </c>
      <c r="B6" s="18" t="inlineStr">
        <is>
          <t>5 years ahead</t>
        </is>
      </c>
      <c r="C6" s="8" t="n"/>
      <c r="D6" s="8" t="n"/>
      <c r="E6" s="8" t="n"/>
      <c r="F6" s="8" t="n"/>
      <c r="G6" s="8" t="n"/>
      <c r="H6" s="8" t="n"/>
    </row>
    <row r="7">
      <c r="A7" s="17" t="inlineStr">
        <is>
          <t>Confidence:</t>
        </is>
      </c>
      <c r="B7" s="18" t="inlineStr">
        <is>
          <t>95%</t>
        </is>
      </c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 ht="16" customHeight="1">
      <c r="A9" s="9" t="inlineStr">
        <is>
          <t>Year</t>
        </is>
      </c>
      <c r="B9" s="9" t="inlineStr">
        <is>
          <t>Forecast</t>
        </is>
      </c>
      <c r="C9" s="9" t="inlineStr">
        <is>
          <t>Std. Error</t>
        </is>
      </c>
      <c r="D9" s="9" t="inlineStr">
        <is>
          <t>95% Lower</t>
        </is>
      </c>
      <c r="E9" s="9" t="inlineStr">
        <is>
          <t>95% Upper</t>
        </is>
      </c>
      <c r="F9" s="9" t="inlineStr"/>
      <c r="G9" s="9" t="inlineStr"/>
      <c r="H9" s="9" t="inlineStr"/>
    </row>
    <row r="10">
      <c r="A10" s="26" t="n">
        <v>2025</v>
      </c>
      <c r="B10" s="26" t="n">
        <v>47.5522</v>
      </c>
      <c r="C10" s="26" t="n">
        <v>7.7047</v>
      </c>
      <c r="D10" s="26" t="n">
        <v>32.4513</v>
      </c>
      <c r="E10" s="26" t="n">
        <v>62.6531</v>
      </c>
    </row>
    <row r="11">
      <c r="A11" s="26" t="n">
        <v>2026</v>
      </c>
      <c r="B11" s="26" t="n">
        <v>54.062</v>
      </c>
      <c r="C11" s="26" t="n">
        <v>8.333399999999999</v>
      </c>
      <c r="D11" s="26" t="n">
        <v>37.7287</v>
      </c>
      <c r="E11" s="26" t="n">
        <v>70.3952</v>
      </c>
    </row>
    <row r="12">
      <c r="A12" s="26" t="n">
        <v>2027</v>
      </c>
      <c r="B12" s="26" t="n">
        <v>54.062</v>
      </c>
      <c r="C12" s="26" t="n">
        <v>9.228899999999999</v>
      </c>
      <c r="D12" s="26" t="n">
        <v>35.9736</v>
      </c>
      <c r="E12" s="26" t="n">
        <v>72.1503</v>
      </c>
    </row>
    <row r="13">
      <c r="A13" s="26" t="n">
        <v>2028</v>
      </c>
      <c r="B13" s="26" t="n">
        <v>54.062</v>
      </c>
      <c r="C13" s="26" t="n">
        <v>10.0449</v>
      </c>
      <c r="D13" s="26" t="n">
        <v>34.3744</v>
      </c>
      <c r="E13" s="26" t="n">
        <v>73.7496</v>
      </c>
    </row>
    <row r="14">
      <c r="A14" s="26" t="n">
        <v>2029</v>
      </c>
      <c r="B14" s="26" t="n">
        <v>54.062</v>
      </c>
      <c r="C14" s="26" t="n">
        <v>10.7994</v>
      </c>
      <c r="D14" s="26" t="n">
        <v>32.8956</v>
      </c>
      <c r="E14" s="26" t="n">
        <v>75.22839999999999</v>
      </c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 ht="16" customHeight="1">
      <c r="A16" s="16" t="inlineStr">
        <is>
          <t xml:space="preserve">  Historical + Forecast Combined Table (for charting)</t>
        </is>
      </c>
    </row>
    <row r="17" ht="16" customHeight="1">
      <c r="A17" s="9" t="inlineStr">
        <is>
          <t>Year</t>
        </is>
      </c>
      <c r="B17" s="9" t="inlineStr">
        <is>
          <t>Actual</t>
        </is>
      </c>
      <c r="C17" s="9" t="inlineStr">
        <is>
          <t>Fitted</t>
        </is>
      </c>
      <c r="D17" s="9" t="inlineStr">
        <is>
          <t>Residual</t>
        </is>
      </c>
      <c r="E17" s="9" t="inlineStr">
        <is>
          <t>Forecast</t>
        </is>
      </c>
      <c r="F17" s="9" t="inlineStr">
        <is>
          <t>95% Lower</t>
        </is>
      </c>
      <c r="G17" s="9" t="inlineStr">
        <is>
          <t>95% Upper</t>
        </is>
      </c>
      <c r="H17" s="9" t="inlineStr">
        <is>
          <t>Type</t>
        </is>
      </c>
    </row>
    <row r="18">
      <c r="A18" s="10" t="n">
        <v>2000</v>
      </c>
      <c r="B18" s="10" t="n">
        <v>44</v>
      </c>
      <c r="C18" s="14" t="n">
        <v>0</v>
      </c>
      <c r="D18" s="14" t="n">
        <v>44</v>
      </c>
      <c r="E18" s="11" t="inlineStr"/>
      <c r="F18" s="11" t="inlineStr"/>
      <c r="G18" s="11" t="inlineStr"/>
      <c r="H18" s="11" t="inlineStr">
        <is>
          <t>Historical</t>
        </is>
      </c>
    </row>
    <row r="19">
      <c r="A19" s="12" t="n">
        <v>2001</v>
      </c>
      <c r="B19" s="12" t="n">
        <v>40</v>
      </c>
      <c r="C19" s="13" t="n">
        <v>43.99</v>
      </c>
      <c r="D19" s="13" t="n">
        <v>-3.99</v>
      </c>
      <c r="E19" s="15" t="inlineStr"/>
      <c r="F19" s="15" t="inlineStr"/>
      <c r="G19" s="15" t="inlineStr"/>
      <c r="H19" s="15" t="inlineStr">
        <is>
          <t>Historical</t>
        </is>
      </c>
    </row>
    <row r="20">
      <c r="A20" s="10" t="n">
        <v>2002</v>
      </c>
      <c r="B20" s="10" t="n">
        <v>44</v>
      </c>
      <c r="C20" s="14" t="n">
        <v>42.82</v>
      </c>
      <c r="D20" s="14" t="n">
        <v>1.18</v>
      </c>
      <c r="E20" s="11" t="inlineStr"/>
      <c r="F20" s="11" t="inlineStr"/>
      <c r="G20" s="11" t="inlineStr"/>
      <c r="H20" s="11" t="inlineStr">
        <is>
          <t>Historical</t>
        </is>
      </c>
    </row>
    <row r="21">
      <c r="A21" s="12" t="n">
        <v>2003</v>
      </c>
      <c r="B21" s="12" t="n">
        <v>55</v>
      </c>
      <c r="C21" s="13" t="n">
        <v>41.78</v>
      </c>
      <c r="D21" s="13" t="n">
        <v>13.22</v>
      </c>
      <c r="E21" s="15" t="inlineStr"/>
      <c r="F21" s="15" t="inlineStr"/>
      <c r="G21" s="15" t="inlineStr"/>
      <c r="H21" s="15" t="inlineStr">
        <is>
          <t>Historical</t>
        </is>
      </c>
    </row>
    <row r="22">
      <c r="A22" s="10" t="n">
        <v>2004</v>
      </c>
      <c r="B22" s="10" t="n">
        <v>36</v>
      </c>
      <c r="C22" s="14" t="n">
        <v>39.42</v>
      </c>
      <c r="D22" s="14" t="n">
        <v>-3.42</v>
      </c>
      <c r="E22" s="11" t="inlineStr"/>
      <c r="F22" s="11" t="inlineStr"/>
      <c r="G22" s="11" t="inlineStr"/>
      <c r="H22" s="11" t="inlineStr">
        <is>
          <t>Historical</t>
        </is>
      </c>
    </row>
    <row r="23">
      <c r="A23" s="12" t="n">
        <v>2005</v>
      </c>
      <c r="B23" s="12" t="n">
        <v>51</v>
      </c>
      <c r="C23" s="13" t="n">
        <v>48.87</v>
      </c>
      <c r="D23" s="13" t="n">
        <v>2.13</v>
      </c>
      <c r="E23" s="15" t="inlineStr"/>
      <c r="F23" s="15" t="inlineStr"/>
      <c r="G23" s="15" t="inlineStr"/>
      <c r="H23" s="15" t="inlineStr">
        <is>
          <t>Historical</t>
        </is>
      </c>
    </row>
    <row r="24">
      <c r="A24" s="10" t="n">
        <v>2006</v>
      </c>
      <c r="B24" s="10" t="n">
        <v>43</v>
      </c>
      <c r="C24" s="14" t="n">
        <v>45.95</v>
      </c>
      <c r="D24" s="14" t="n">
        <v>-2.95</v>
      </c>
      <c r="E24" s="11" t="inlineStr"/>
      <c r="F24" s="11" t="inlineStr"/>
      <c r="G24" s="11" t="inlineStr"/>
      <c r="H24" s="11" t="inlineStr">
        <is>
          <t>Historical</t>
        </is>
      </c>
    </row>
    <row r="25">
      <c r="A25" s="12" t="n">
        <v>2007</v>
      </c>
      <c r="B25" s="12" t="n">
        <v>54</v>
      </c>
      <c r="C25" s="13" t="n">
        <v>48.26</v>
      </c>
      <c r="D25" s="13" t="n">
        <v>5.74</v>
      </c>
      <c r="E25" s="15" t="inlineStr"/>
      <c r="F25" s="15" t="inlineStr"/>
      <c r="G25" s="15" t="inlineStr"/>
      <c r="H25" s="15" t="inlineStr">
        <is>
          <t>Historical</t>
        </is>
      </c>
    </row>
    <row r="26">
      <c r="A26" s="10" t="n">
        <v>2008</v>
      </c>
      <c r="B26" s="10" t="n">
        <v>37</v>
      </c>
      <c r="C26" s="14" t="n">
        <v>44.26</v>
      </c>
      <c r="D26" s="14" t="n">
        <v>-7.26</v>
      </c>
      <c r="E26" s="11" t="inlineStr"/>
      <c r="F26" s="11" t="inlineStr"/>
      <c r="G26" s="11" t="inlineStr"/>
      <c r="H26" s="11" t="inlineStr">
        <is>
          <t>Historical</t>
        </is>
      </c>
    </row>
    <row r="27">
      <c r="A27" s="12" t="n">
        <v>2009</v>
      </c>
      <c r="B27" s="12" t="n">
        <v>36</v>
      </c>
      <c r="C27" s="13" t="n">
        <v>51.17</v>
      </c>
      <c r="D27" s="13" t="n">
        <v>-15.17</v>
      </c>
      <c r="E27" s="15" t="inlineStr"/>
      <c r="F27" s="15" t="inlineStr"/>
      <c r="G27" s="15" t="inlineStr"/>
      <c r="H27" s="15" t="inlineStr">
        <is>
          <t>Historical</t>
        </is>
      </c>
    </row>
    <row r="28">
      <c r="A28" s="10" t="n">
        <v>2010</v>
      </c>
      <c r="B28" s="10" t="n">
        <v>53</v>
      </c>
      <c r="C28" s="14" t="n">
        <v>50.1</v>
      </c>
      <c r="D28" s="14" t="n">
        <v>2.9</v>
      </c>
      <c r="E28" s="11" t="inlineStr"/>
      <c r="F28" s="11" t="inlineStr"/>
      <c r="G28" s="11" t="inlineStr"/>
      <c r="H28" s="11" t="inlineStr">
        <is>
          <t>Historical</t>
        </is>
      </c>
    </row>
    <row r="29">
      <c r="A29" s="12" t="n">
        <v>2011</v>
      </c>
      <c r="B29" s="12" t="n">
        <v>51</v>
      </c>
      <c r="C29" s="13" t="n">
        <v>36.63</v>
      </c>
      <c r="D29" s="13" t="n">
        <v>14.37</v>
      </c>
      <c r="E29" s="15" t="inlineStr"/>
      <c r="F29" s="15" t="inlineStr"/>
      <c r="G29" s="15" t="inlineStr"/>
      <c r="H29" s="15" t="inlineStr">
        <is>
          <t>Historical</t>
        </is>
      </c>
    </row>
    <row r="30">
      <c r="A30" s="10" t="n">
        <v>2012</v>
      </c>
      <c r="B30" s="10" t="n">
        <v>36</v>
      </c>
      <c r="C30" s="14" t="n">
        <v>33.89</v>
      </c>
      <c r="D30" s="14" t="n">
        <v>2.11</v>
      </c>
      <c r="E30" s="11" t="inlineStr"/>
      <c r="F30" s="11" t="inlineStr"/>
      <c r="G30" s="11" t="inlineStr"/>
      <c r="H30" s="11" t="inlineStr">
        <is>
          <t>Historical</t>
        </is>
      </c>
    </row>
    <row r="31">
      <c r="A31" s="12" t="n">
        <v>2013</v>
      </c>
      <c r="B31" s="12" t="n">
        <v>56</v>
      </c>
      <c r="C31" s="13" t="n">
        <v>45.34</v>
      </c>
      <c r="D31" s="13" t="n">
        <v>10.66</v>
      </c>
      <c r="E31" s="15" t="inlineStr"/>
      <c r="F31" s="15" t="inlineStr"/>
      <c r="G31" s="15" t="inlineStr"/>
      <c r="H31" s="15" t="inlineStr">
        <is>
          <t>Historical</t>
        </is>
      </c>
    </row>
    <row r="32">
      <c r="A32" s="10" t="n">
        <v>2014</v>
      </c>
      <c r="B32" s="10" t="n">
        <v>41</v>
      </c>
      <c r="C32" s="14" t="n">
        <v>43.29</v>
      </c>
      <c r="D32" s="14" t="n">
        <v>-2.29</v>
      </c>
      <c r="E32" s="11" t="inlineStr"/>
      <c r="F32" s="11" t="inlineStr"/>
      <c r="G32" s="11" t="inlineStr"/>
      <c r="H32" s="11" t="inlineStr">
        <is>
          <t>Historical</t>
        </is>
      </c>
    </row>
    <row r="33">
      <c r="A33" s="12" t="n">
        <v>2015</v>
      </c>
      <c r="B33" s="12" t="n">
        <v>65</v>
      </c>
      <c r="C33" s="13" t="n">
        <v>53.42</v>
      </c>
      <c r="D33" s="13" t="n">
        <v>11.58</v>
      </c>
      <c r="E33" s="15" t="inlineStr"/>
      <c r="F33" s="15" t="inlineStr"/>
      <c r="G33" s="15" t="inlineStr"/>
      <c r="H33" s="15" t="inlineStr">
        <is>
          <t>Historical</t>
        </is>
      </c>
    </row>
    <row r="34">
      <c r="A34" s="10" t="n">
        <v>2016</v>
      </c>
      <c r="B34" s="10" t="n">
        <v>52</v>
      </c>
      <c r="C34" s="14" t="n">
        <v>47.01</v>
      </c>
      <c r="D34" s="14" t="n">
        <v>4.99</v>
      </c>
      <c r="E34" s="11" t="inlineStr"/>
      <c r="F34" s="11" t="inlineStr"/>
      <c r="G34" s="11" t="inlineStr"/>
      <c r="H34" s="11" t="inlineStr">
        <is>
          <t>Historical</t>
        </is>
      </c>
    </row>
    <row r="35">
      <c r="A35" s="12" t="n">
        <v>2017</v>
      </c>
      <c r="B35" s="12" t="n">
        <v>41</v>
      </c>
      <c r="C35" s="13" t="n">
        <v>55.31</v>
      </c>
      <c r="D35" s="13" t="n">
        <v>-14.31</v>
      </c>
      <c r="E35" s="15" t="inlineStr"/>
      <c r="F35" s="15" t="inlineStr"/>
      <c r="G35" s="15" t="inlineStr"/>
      <c r="H35" s="15" t="inlineStr">
        <is>
          <t>Historical</t>
        </is>
      </c>
    </row>
    <row r="36">
      <c r="A36" s="10" t="n">
        <v>2018</v>
      </c>
      <c r="B36" s="10" t="n">
        <v>62</v>
      </c>
      <c r="C36" s="14" t="n">
        <v>65.31999999999999</v>
      </c>
      <c r="D36" s="14" t="n">
        <v>-3.32</v>
      </c>
      <c r="E36" s="11" t="inlineStr"/>
      <c r="F36" s="11" t="inlineStr"/>
      <c r="G36" s="11" t="inlineStr"/>
      <c r="H36" s="11" t="inlineStr">
        <is>
          <t>Historical</t>
        </is>
      </c>
    </row>
    <row r="37">
      <c r="A37" s="12" t="n">
        <v>2019</v>
      </c>
      <c r="B37" s="12" t="n">
        <v>68</v>
      </c>
      <c r="C37" s="13" t="n">
        <v>53.74</v>
      </c>
      <c r="D37" s="13" t="n">
        <v>14.26</v>
      </c>
      <c r="E37" s="15" t="inlineStr"/>
      <c r="F37" s="15" t="inlineStr"/>
      <c r="G37" s="15" t="inlineStr"/>
      <c r="H37" s="15" t="inlineStr">
        <is>
          <t>Historical</t>
        </is>
      </c>
    </row>
    <row r="38">
      <c r="A38" s="10" t="n">
        <v>2020</v>
      </c>
      <c r="B38" s="10" t="n">
        <v>39</v>
      </c>
      <c r="C38" s="14" t="n">
        <v>45.11</v>
      </c>
      <c r="D38" s="14" t="n">
        <v>-6.11</v>
      </c>
      <c r="E38" s="11" t="inlineStr"/>
      <c r="F38" s="11" t="inlineStr"/>
      <c r="G38" s="11" t="inlineStr"/>
      <c r="H38" s="11" t="inlineStr">
        <is>
          <t>Historical</t>
        </is>
      </c>
    </row>
    <row r="39">
      <c r="A39" s="12" t="n">
        <v>2021</v>
      </c>
      <c r="B39" s="12" t="n">
        <v>56</v>
      </c>
      <c r="C39" s="13" t="n">
        <v>60.47</v>
      </c>
      <c r="D39" s="13" t="n">
        <v>-4.47</v>
      </c>
      <c r="E39" s="15" t="inlineStr"/>
      <c r="F39" s="15" t="inlineStr"/>
      <c r="G39" s="15" t="inlineStr"/>
      <c r="H39" s="15" t="inlineStr">
        <is>
          <t>Historical</t>
        </is>
      </c>
    </row>
    <row r="40">
      <c r="A40" s="10" t="n">
        <v>2022</v>
      </c>
      <c r="B40" s="10" t="n">
        <v>52</v>
      </c>
      <c r="C40" s="14" t="n">
        <v>56.69</v>
      </c>
      <c r="D40" s="14" t="n">
        <v>-4.69</v>
      </c>
      <c r="E40" s="11" t="inlineStr"/>
      <c r="F40" s="11" t="inlineStr"/>
      <c r="G40" s="11" t="inlineStr"/>
      <c r="H40" s="11" t="inlineStr">
        <is>
          <t>Historical</t>
        </is>
      </c>
    </row>
    <row r="41">
      <c r="A41" s="12" t="n">
        <v>2023</v>
      </c>
      <c r="B41" s="12" t="n">
        <v>55</v>
      </c>
      <c r="C41" s="13" t="n">
        <v>54.48</v>
      </c>
      <c r="D41" s="13" t="n">
        <v>0.52</v>
      </c>
      <c r="E41" s="15" t="inlineStr"/>
      <c r="F41" s="15" t="inlineStr"/>
      <c r="G41" s="15" t="inlineStr"/>
      <c r="H41" s="15" t="inlineStr">
        <is>
          <t>Historical</t>
        </is>
      </c>
    </row>
    <row r="42">
      <c r="A42" s="10" t="n">
        <v>2024</v>
      </c>
      <c r="B42" s="10" t="n">
        <v>57</v>
      </c>
      <c r="C42" s="14" t="n">
        <v>49.97</v>
      </c>
      <c r="D42" s="14" t="n">
        <v>7.03</v>
      </c>
      <c r="E42" s="11" t="inlineStr"/>
      <c r="F42" s="11" t="inlineStr"/>
      <c r="G42" s="11" t="inlineStr"/>
      <c r="H42" s="11" t="inlineStr">
        <is>
          <t>Historical</t>
        </is>
      </c>
    </row>
    <row r="43">
      <c r="A43" s="26" t="n">
        <v>2025</v>
      </c>
      <c r="B43" s="25" t="inlineStr"/>
      <c r="C43" s="25" t="inlineStr"/>
      <c r="D43" s="26" t="n">
        <v>47.55</v>
      </c>
      <c r="E43" s="25" t="inlineStr"/>
      <c r="F43" s="26" t="n">
        <v>32.45</v>
      </c>
      <c r="G43" s="26" t="n">
        <v>62.65</v>
      </c>
      <c r="H43" s="25" t="inlineStr">
        <is>
          <t>Forecast</t>
        </is>
      </c>
    </row>
    <row r="44">
      <c r="A44" s="26" t="n">
        <v>2026</v>
      </c>
      <c r="B44" s="25" t="inlineStr"/>
      <c r="C44" s="25" t="inlineStr"/>
      <c r="D44" s="26" t="n">
        <v>54.06</v>
      </c>
      <c r="E44" s="25" t="inlineStr"/>
      <c r="F44" s="26" t="n">
        <v>37.73</v>
      </c>
      <c r="G44" s="26" t="n">
        <v>70.40000000000001</v>
      </c>
      <c r="H44" s="25" t="inlineStr">
        <is>
          <t>Forecast</t>
        </is>
      </c>
    </row>
    <row r="45">
      <c r="A45" s="26" t="n">
        <v>2027</v>
      </c>
      <c r="B45" s="25" t="inlineStr"/>
      <c r="C45" s="25" t="inlineStr"/>
      <c r="D45" s="26" t="n">
        <v>54.06</v>
      </c>
      <c r="E45" s="25" t="inlineStr"/>
      <c r="F45" s="26" t="n">
        <v>35.97</v>
      </c>
      <c r="G45" s="26" t="n">
        <v>72.15000000000001</v>
      </c>
      <c r="H45" s="25" t="inlineStr">
        <is>
          <t>Forecast</t>
        </is>
      </c>
    </row>
    <row r="46">
      <c r="A46" s="26" t="n">
        <v>2028</v>
      </c>
      <c r="B46" s="25" t="inlineStr"/>
      <c r="C46" s="25" t="inlineStr"/>
      <c r="D46" s="26" t="n">
        <v>54.06</v>
      </c>
      <c r="E46" s="25" t="inlineStr"/>
      <c r="F46" s="26" t="n">
        <v>34.37</v>
      </c>
      <c r="G46" s="26" t="n">
        <v>73.75</v>
      </c>
      <c r="H46" s="25" t="inlineStr">
        <is>
          <t>Forecast</t>
        </is>
      </c>
    </row>
    <row r="47">
      <c r="A47" s="26" t="n">
        <v>2029</v>
      </c>
      <c r="B47" s="25" t="inlineStr"/>
      <c r="C47" s="25" t="inlineStr"/>
      <c r="D47" s="26" t="n">
        <v>54.06</v>
      </c>
      <c r="E47" s="25" t="inlineStr"/>
      <c r="F47" s="26" t="n">
        <v>32.9</v>
      </c>
      <c r="G47" s="26" t="n">
        <v>75.23</v>
      </c>
      <c r="H47" s="25" t="inlineStr">
        <is>
          <t>Forecast</t>
        </is>
      </c>
    </row>
  </sheetData>
  <mergeCells count="3">
    <mergeCell ref="A3:H3"/>
    <mergeCell ref="A16:H16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2026-05-21T19:27:01Z</dcterms:created>
  <dcterms:modified xmlns:dcterms="http://purl.org/dc/terms/" xmlns:xsi="http://www.w3.org/2001/XMLSchema-instance" xsi:type="dcterms:W3CDTF">2026-05-21T19:27:03Z</dcterms:modified>
</cp:coreProperties>
</file>